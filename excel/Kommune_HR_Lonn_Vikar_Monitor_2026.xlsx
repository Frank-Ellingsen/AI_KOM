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orside_og_Logg" sheetId="1" state="visible" r:id="rId1"/>
    <sheet xmlns:r="http://schemas.openxmlformats.org/officeDocument/2006/relationships" name="01_HR_Kpi_Dashboard" sheetId="2" state="visible" r:id="rId2"/>
    <sheet xmlns:r="http://schemas.openxmlformats.org/officeDocument/2006/relationships" name="02_Manedlig_Artsanalyse" sheetId="3" state="visible" r:id="rId3"/>
    <sheet xmlns:r="http://schemas.openxmlformats.org/officeDocument/2006/relationships" name="03_Enhetsvis_Vikarstopp" sheetId="4" state="visible" r:id="rId4"/>
    <sheet xmlns:r="http://schemas.openxmlformats.org/officeDocument/2006/relationships" name="04_NAV_Refusjoner_Ettersle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* #,##0_);[Red]_(* (#,##0);_(* &quot;-&quot;_);_(@_)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93C5FD"/>
      <sz val="11"/>
    </font>
    <font>
      <name val="Arial"/>
      <b val="1"/>
      <color rgb="00FFFFFF"/>
      <sz val="15"/>
    </font>
    <font>
      <name val="Arial"/>
      <b val="1"/>
      <color rgb="004B5563"/>
      <sz val="10"/>
    </font>
    <font>
      <name val="Arial"/>
      <color rgb="001F2937"/>
      <sz val="10"/>
    </font>
    <font>
      <name val="Arial"/>
      <b val="1"/>
      <color rgb="001E3A8A"/>
      <sz val="14"/>
    </font>
    <font>
      <name val="Arial"/>
      <i val="1"/>
      <color rgb="004B5563"/>
      <sz val="10"/>
    </font>
    <font>
      <name val="Arial"/>
      <b val="1"/>
      <color rgb="004B5563"/>
      <sz val="9"/>
    </font>
    <font>
      <name val="Arial"/>
      <b val="1"/>
      <color rgb="00000000"/>
      <sz val="13"/>
    </font>
    <font>
      <name val="Arial"/>
      <i val="1"/>
      <color rgb="006B7280"/>
      <sz val="8"/>
    </font>
    <font>
      <name val="Arial"/>
      <b val="1"/>
      <color rgb="00FFFFFF"/>
      <sz val="9"/>
    </font>
    <font>
      <name val="Arial"/>
      <b val="1"/>
      <color rgb="001F2937"/>
      <sz val="9"/>
    </font>
    <font>
      <name val="Arial"/>
      <color rgb="001F2937"/>
      <sz val="9"/>
    </font>
    <font>
      <name val="Arial"/>
      <color rgb="00000080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B45309"/>
      <sz val="9"/>
    </font>
    <font>
      <name val="Arial"/>
      <b val="1"/>
      <color rgb="00C0392B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top style="thin">
        <color rgb="001F2937"/>
      </top>
      <bottom style="double">
        <color rgb="001F293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164" fontId="8" fillId="3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right"/>
    </xf>
    <xf numFmtId="0" fontId="11" fillId="0" borderId="1" pivotButton="0" quotePrefix="0" xfId="0"/>
    <xf numFmtId="0" fontId="12" fillId="0" borderId="1" pivotButton="0" quotePrefix="0" xfId="0"/>
    <xf numFmtId="164" fontId="13" fillId="4" borderId="1" applyAlignment="1" pivotButton="0" quotePrefix="0" xfId="0">
      <alignment horizontal="right"/>
    </xf>
    <xf numFmtId="164" fontId="14" fillId="0" borderId="1" applyAlignment="1" pivotButton="0" quotePrefix="0" xfId="0">
      <alignment horizontal="right"/>
    </xf>
    <xf numFmtId="165" fontId="15" fillId="0" borderId="1" applyAlignment="1" pivotButton="0" quotePrefix="0" xfId="0">
      <alignment horizontal="right"/>
    </xf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1" fillId="0" borderId="0" pivotButton="0" quotePrefix="0" xfId="0"/>
    <xf numFmtId="164" fontId="14" fillId="0" borderId="2" applyAlignment="1" pivotButton="0" quotePrefix="0" xfId="0">
      <alignment horizontal="right"/>
    </xf>
    <xf numFmtId="165" fontId="0" fillId="0" borderId="0" pivotButton="0" quotePrefix="0" xfId="0"/>
    <xf numFmtId="0" fontId="0" fillId="0" borderId="2" pivotButton="0" quotePrefix="0" xfId="0"/>
    <xf numFmtId="0" fontId="10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5" fontId="14" fillId="0" borderId="2" pivotButton="0" quotePrefix="0" xfId="0"/>
    <xf numFmtId="164" fontId="16" fillId="0" borderId="1" applyAlignment="1" pivotButton="0" quotePrefix="0" xfId="0">
      <alignment horizontal="right"/>
    </xf>
    <xf numFmtId="164" fontId="19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 ht="24" customHeight="1">
      <c r="B2" s="1" t="inlineStr">
        <is>
          <t>KRISTIANSAND KOMMUNE — HR OG ARBEIDSGIVERSTRATEGI</t>
        </is>
      </c>
    </row>
    <row r="3" ht="36" customHeight="1">
      <c r="B3" s="2" t="inlineStr">
        <is>
          <t>HR &amp; Lønnsmonitor: Bemanningsavvik, Vikarforbruk og NAV-Refusjoner</t>
        </is>
      </c>
    </row>
    <row r="4"/>
    <row r="5" ht="20" customHeight="1">
      <c r="B5" s="3" t="inlineStr">
        <is>
          <t>Målgruppe:</t>
        </is>
      </c>
      <c r="C5" s="4" t="inlineStr">
        <is>
          <t>HR-Direktør, Kommunalsjefer, Enhetsledere og Tillitsvalgte</t>
        </is>
      </c>
    </row>
    <row r="6" ht="20" customHeight="1">
      <c r="B6" s="3" t="inlineStr">
        <is>
          <t>Saksbehandler:</t>
        </is>
      </c>
      <c r="C6" s="4" t="inlineStr">
        <is>
          <t>Frank Ellingsen, Senior Controller &amp; BI-Spesialist</t>
        </is>
      </c>
    </row>
    <row r="7" ht="20" customHeight="1">
      <c r="B7" s="3" t="inlineStr">
        <is>
          <t>Hjemmel / Avtale:</t>
        </is>
      </c>
      <c r="C7" s="4" t="inlineStr">
        <is>
          <t>Hovedtariffavtalen (HTA) § 4, Arbeidsmiljøloven § 10, Kommuneloven § 14-5</t>
        </is>
      </c>
    </row>
    <row r="8" ht="20" customHeight="1">
      <c r="B8" s="3" t="inlineStr">
        <is>
          <t>Overvåking:</t>
        </is>
      </c>
      <c r="C8" s="4" t="inlineStr">
        <is>
          <t>KOSTRA Art 1010 (Fastlønn), 1020 (Vikar), 1090 (Overtid), 1600 (NAV Refusjon)</t>
        </is>
      </c>
    </row>
    <row r="9" ht="20" customHeight="1">
      <c r="B9" s="3" t="inlineStr">
        <is>
          <t>Periode:</t>
        </is>
      </c>
      <c r="C9" s="4" t="inlineStr">
        <is>
          <t>Status per 2. Tertial (August 2026)</t>
        </is>
      </c>
    </row>
    <row r="10" ht="20" customHeight="1">
      <c r="B10" s="3" t="inlineStr">
        <is>
          <t>Kryptografisk Integritet:</t>
        </is>
      </c>
      <c r="C10" s="4" t="inlineStr">
        <is>
          <t>SHA-256: 72678e8e4278a7f35e05606502bec16c9fb0b1096c0ae809efcad505ecd6df7d</t>
        </is>
      </c>
    </row>
    <row r="11" ht="20" customHeight="1">
      <c r="B11" s="3" t="inlineStr">
        <is>
          <t>Tiltaksforankring:</t>
        </is>
      </c>
      <c r="C11" s="4" t="inlineStr">
        <is>
          <t>Administrativt vikarstopp og turnusoptimalisering</t>
        </is>
      </c>
    </row>
  </sheetData>
  <mergeCells count="9">
    <mergeCell ref="C11:H11"/>
    <mergeCell ref="C6:H6"/>
    <mergeCell ref="C10:H10"/>
    <mergeCell ref="C5:H5"/>
    <mergeCell ref="C9:H9"/>
    <mergeCell ref="B2:H2"/>
    <mergeCell ref="C8:H8"/>
    <mergeCell ref="B3:H3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1" customWidth="1" min="3" max="3"/>
    <col width="16" customWidth="1" min="4" max="4"/>
    <col width="16" customWidth="1" min="5" max="5"/>
    <col width="16" customWidth="1" min="6" max="6"/>
    <col width="25" customWidth="1" min="7" max="7"/>
    <col width="32" customWidth="1" min="8" max="8"/>
    <col width="21" customWidth="1" min="9" max="9"/>
  </cols>
  <sheetData>
    <row r="1"/>
    <row r="2" ht="26" customHeight="1">
      <c r="B2" s="5" t="inlineStr">
        <is>
          <t>OVERORDNET HR-DASHBOARD OG BEMANNINGSSTATUS 2026</t>
        </is>
      </c>
    </row>
    <row r="3" ht="18" customHeight="1">
      <c r="B3" s="6" t="inlineStr">
        <is>
          <t>Akutt overforbruk på vikarbyrå og overtid krever strakstiltak (Beløp i hele NOK)</t>
        </is>
      </c>
    </row>
    <row r="4"/>
    <row r="5" ht="20" customHeight="1">
      <c r="B5" s="7" t="inlineStr">
        <is>
          <t>Samlet Lønnsmasse YTD</t>
        </is>
      </c>
      <c r="D5" s="7" t="inlineStr">
        <is>
          <t>Vikarforbruk (Art 1020)</t>
        </is>
      </c>
      <c r="F5" s="7" t="inlineStr">
        <is>
          <t>Overtid / Tillegg (1090)</t>
        </is>
      </c>
      <c r="H5" s="7" t="inlineStr">
        <is>
          <t>NAV Refusjoner (1600)</t>
        </is>
      </c>
    </row>
    <row r="6" ht="20" customHeight="1">
      <c r="B6" s="8">
        <f>F11</f>
        <v/>
      </c>
      <c r="D6" s="8">
        <f>F12</f>
        <v/>
      </c>
      <c r="F6" s="8">
        <f>F13</f>
        <v/>
      </c>
      <c r="H6" s="8">
        <f>F14</f>
        <v/>
      </c>
    </row>
    <row r="7" ht="20" customHeight="1">
      <c r="B7" s="9" t="inlineStr">
        <is>
          <t>Art 1010–1090</t>
        </is>
      </c>
      <c r="D7" s="9" t="inlineStr">
        <is>
          <t>+1,2M kr over budsjett</t>
        </is>
      </c>
      <c r="F7" s="9" t="inlineStr">
        <is>
          <t>Døgnpost- og helgepress</t>
        </is>
      </c>
      <c r="H7" s="9" t="inlineStr">
        <is>
          <t>Bokført YTD</t>
        </is>
      </c>
    </row>
    <row r="8"/>
    <row r="9" ht="24" customHeight="1">
      <c r="B9" s="10" t="inlineStr">
        <is>
          <t>KOSTRA Art</t>
        </is>
      </c>
      <c r="C9" s="10" t="inlineStr">
        <is>
          <t>Artsnavn / Kontotype</t>
        </is>
      </c>
      <c r="D9" s="11" t="inlineStr">
        <is>
          <t>Årsbudsjett</t>
        </is>
      </c>
      <c r="E9" s="11" t="inlineStr">
        <is>
          <t>Budsjett YTD</t>
        </is>
      </c>
      <c r="F9" s="11" t="inlineStr">
        <is>
          <t>Regnskap YTD</t>
        </is>
      </c>
      <c r="G9" s="11" t="inlineStr">
        <is>
          <t>Avvik YTD (Merforbruk)</t>
        </is>
      </c>
      <c r="H9" s="11" t="inlineStr">
        <is>
          <t>Andel av Lønn</t>
        </is>
      </c>
      <c r="I9" s="10" t="inlineStr">
        <is>
          <t>Status</t>
        </is>
      </c>
    </row>
    <row r="10"/>
    <row r="11" ht="20" customHeight="1">
      <c r="B11" s="12" t="inlineStr">
        <is>
          <t>Art 1010</t>
        </is>
      </c>
      <c r="C11" s="13" t="inlineStr">
        <is>
          <t>Fastlønn i faste stillinger</t>
        </is>
      </c>
      <c r="D11" s="14" t="n">
        <v>32500000</v>
      </c>
      <c r="E11" s="14" t="n">
        <v>21666667</v>
      </c>
      <c r="F11" s="14" t="n">
        <v>21450000</v>
      </c>
      <c r="G11" s="15">
        <f>F11-E11</f>
        <v/>
      </c>
      <c r="H11" s="16">
        <f>IF(F$16&gt;0, ABS(F11)/F$16, 0)</f>
        <v/>
      </c>
      <c r="I11" s="17" t="inlineStr">
        <is>
          <t>I RUTE</t>
        </is>
      </c>
    </row>
    <row r="12" ht="20" customHeight="1">
      <c r="B12" s="12" t="inlineStr">
        <is>
          <t>Art 1020</t>
        </is>
      </c>
      <c r="C12" s="13" t="inlineStr">
        <is>
          <t>Vikarer ved sykefravær og permisjon</t>
        </is>
      </c>
      <c r="D12" s="14" t="n">
        <v>1850000</v>
      </c>
      <c r="E12" s="14" t="n">
        <v>1233333</v>
      </c>
      <c r="F12" s="14" t="n">
        <v>2480000</v>
      </c>
      <c r="G12" s="15">
        <f>F12-E12</f>
        <v/>
      </c>
      <c r="H12" s="16">
        <f>IF(F$16&gt;0, ABS(F12)/F$16, 0)</f>
        <v/>
      </c>
      <c r="I12" s="18" t="inlineStr">
        <is>
          <t>KRITISK MERFORBRUK</t>
        </is>
      </c>
    </row>
    <row r="13" ht="20" customHeight="1">
      <c r="B13" s="12" t="inlineStr">
        <is>
          <t>Art 1040</t>
        </is>
      </c>
      <c r="C13" s="13" t="inlineStr">
        <is>
          <t>Overtid og ekstraarbeid</t>
        </is>
      </c>
      <c r="D13" s="14" t="n">
        <v>1400000</v>
      </c>
      <c r="E13" s="14" t="n">
        <v>933333</v>
      </c>
      <c r="F13" s="14" t="n">
        <v>1650000</v>
      </c>
      <c r="G13" s="15">
        <f>F13-E13</f>
        <v/>
      </c>
      <c r="H13" s="16">
        <f>IF(F$16&gt;0, ABS(F13)/F$16, 0)</f>
        <v/>
      </c>
      <c r="I13" s="19" t="inlineStr">
        <is>
          <t>AKTSOMHET</t>
        </is>
      </c>
    </row>
    <row r="14" ht="20" customHeight="1">
      <c r="B14" s="12" t="inlineStr">
        <is>
          <t>Art 1090</t>
        </is>
      </c>
      <c r="C14" s="13" t="inlineStr">
        <is>
          <t>Kvelds-, natt- og helgetillegg</t>
        </is>
      </c>
      <c r="D14" s="14" t="n">
        <v>1950000</v>
      </c>
      <c r="E14" s="14" t="n">
        <v>1300000</v>
      </c>
      <c r="F14" s="14" t="n">
        <v>1220000</v>
      </c>
      <c r="G14" s="15">
        <f>F14-E14</f>
        <v/>
      </c>
      <c r="H14" s="16">
        <f>IF(F$16&gt;0, ABS(F14)/F$16, 0)</f>
        <v/>
      </c>
      <c r="I14" s="17" t="inlineStr">
        <is>
          <t>I RUTE</t>
        </is>
      </c>
    </row>
    <row r="15" ht="20" customHeight="1">
      <c r="B15" s="12" t="inlineStr">
        <is>
          <t>Art 1600</t>
        </is>
      </c>
      <c r="C15" s="13" t="inlineStr">
        <is>
          <t>Refusjon av sykepenger fra NAV</t>
        </is>
      </c>
      <c r="D15" s="14" t="n">
        <v>-1900000</v>
      </c>
      <c r="E15" s="14" t="n">
        <v>-1266667</v>
      </c>
      <c r="F15" s="14" t="n">
        <v>-1120000</v>
      </c>
      <c r="G15" s="15">
        <f>F15-E15</f>
        <v/>
      </c>
      <c r="H15" s="16">
        <f>IF(F$16&gt;0, ABS(F15)/F$16, 0)</f>
        <v/>
      </c>
      <c r="I15" s="17" t="inlineStr">
        <is>
          <t>ETTERSLEP</t>
        </is>
      </c>
    </row>
    <row r="16" ht="22" customHeight="1">
      <c r="B16" s="20" t="inlineStr">
        <is>
          <t>SUM LØNN</t>
        </is>
      </c>
      <c r="C16" s="20" t="inlineStr">
        <is>
          <t>Brutto Lønnsutgifter (Ekskl. Refusjon)</t>
        </is>
      </c>
      <c r="D16" s="21">
        <f>SUM(D11:D14)</f>
        <v/>
      </c>
      <c r="E16" s="21">
        <f>SUM(E11:E14)</f>
        <v/>
      </c>
      <c r="F16" s="21">
        <f>SUM(F11:F14)</f>
        <v/>
      </c>
      <c r="G16" s="21">
        <f>SUM(G11:G14)</f>
        <v/>
      </c>
      <c r="H16" s="22">
        <f>1.0</f>
        <v/>
      </c>
      <c r="I16" s="23" t="inlineStr"/>
    </row>
  </sheetData>
  <mergeCells count="14">
    <mergeCell ref="D6:E6"/>
    <mergeCell ref="B6:C6"/>
    <mergeCell ref="D7:E7"/>
    <mergeCell ref="B7:C7"/>
    <mergeCell ref="H6:I6"/>
    <mergeCell ref="B5:C5"/>
    <mergeCell ref="B2:I2"/>
    <mergeCell ref="F5:G5"/>
    <mergeCell ref="D5:E5"/>
    <mergeCell ref="H7:I7"/>
    <mergeCell ref="B3:I3"/>
    <mergeCell ref="F6:G6"/>
    <mergeCell ref="H5:I5"/>
    <mergeCell ref="F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7" customWidth="1" min="4" max="4"/>
    <col width="17" customWidth="1" min="5" max="5"/>
    <col width="17" customWidth="1" min="6" max="6"/>
    <col width="22" customWidth="1" min="7" max="7"/>
    <col width="21" customWidth="1" min="8" max="8"/>
    <col width="20" customWidth="1" min="9" max="9"/>
  </cols>
  <sheetData>
    <row r="1"/>
    <row r="2">
      <c r="B2" s="5" t="inlineStr">
        <is>
          <t>MÅNEDLIG LØNNS- OG VIKARUTVIKLING 2026</t>
        </is>
      </c>
    </row>
    <row r="3">
      <c r="B3" s="6" t="inlineStr">
        <is>
          <t>Observasjon av sesongsvingninger, fraværsbølger og overtidsbelastning</t>
        </is>
      </c>
    </row>
    <row r="4"/>
    <row r="5" ht="24" customHeight="1">
      <c r="B5" s="24" t="inlineStr">
        <is>
          <t>Måned (2026)</t>
        </is>
      </c>
      <c r="C5" s="11" t="inlineStr">
        <is>
          <t>Fastlønn (1010)</t>
        </is>
      </c>
      <c r="D5" s="11" t="inlineStr">
        <is>
          <t>Vikarer (1020)</t>
        </is>
      </c>
      <c r="E5" s="11" t="inlineStr">
        <is>
          <t>Overtid (1040)</t>
        </is>
      </c>
      <c r="F5" s="11" t="inlineStr">
        <is>
          <t>Tillegg (1090)</t>
        </is>
      </c>
      <c r="G5" s="11" t="inlineStr">
        <is>
          <t>NAV Refusjon (1600)</t>
        </is>
      </c>
      <c r="H5" s="11" t="inlineStr">
        <is>
          <t>Netto Lønnskostnad</t>
        </is>
      </c>
      <c r="I5" s="11" t="inlineStr">
        <is>
          <t>Vikarandel %</t>
        </is>
      </c>
    </row>
    <row r="6" ht="20" customHeight="1">
      <c r="B6" s="25" t="inlineStr">
        <is>
          <t>Januar</t>
        </is>
      </c>
      <c r="C6" s="14" t="n">
        <v>2650000</v>
      </c>
      <c r="D6" s="14" t="n">
        <v>210000</v>
      </c>
      <c r="E6" s="14" t="n">
        <v>180000</v>
      </c>
      <c r="F6" s="14" t="n">
        <v>145000</v>
      </c>
      <c r="G6" s="14" t="n">
        <v>-110000</v>
      </c>
      <c r="H6" s="15">
        <f>SUM(C6:G6)</f>
        <v/>
      </c>
      <c r="I6" s="16">
        <f>D6/SUM(C6:F6)</f>
        <v/>
      </c>
    </row>
    <row r="7" ht="20" customHeight="1">
      <c r="B7" s="25" t="inlineStr">
        <is>
          <t>Februar</t>
        </is>
      </c>
      <c r="C7" s="14" t="n">
        <v>2660000</v>
      </c>
      <c r="D7" s="14" t="n">
        <v>240000</v>
      </c>
      <c r="E7" s="14" t="n">
        <v>190000</v>
      </c>
      <c r="F7" s="14" t="n">
        <v>148000</v>
      </c>
      <c r="G7" s="14" t="n">
        <v>-125000</v>
      </c>
      <c r="H7" s="15">
        <f>SUM(C7:G7)</f>
        <v/>
      </c>
      <c r="I7" s="16">
        <f>D7/SUM(C7:F7)</f>
        <v/>
      </c>
    </row>
    <row r="8" ht="20" customHeight="1">
      <c r="B8" s="25" t="inlineStr">
        <is>
          <t>Mars</t>
        </is>
      </c>
      <c r="C8" s="14" t="n">
        <v>2680000</v>
      </c>
      <c r="D8" s="14" t="n">
        <v>280000</v>
      </c>
      <c r="E8" s="14" t="n">
        <v>210000</v>
      </c>
      <c r="F8" s="14" t="n">
        <v>150000</v>
      </c>
      <c r="G8" s="14" t="n">
        <v>-135000</v>
      </c>
      <c r="H8" s="15">
        <f>SUM(C8:G8)</f>
        <v/>
      </c>
      <c r="I8" s="16">
        <f>D8/SUM(C8:F8)</f>
        <v/>
      </c>
    </row>
    <row r="9" ht="20" customHeight="1">
      <c r="B9" s="25" t="inlineStr">
        <is>
          <t>April</t>
        </is>
      </c>
      <c r="C9" s="14" t="n">
        <v>2670000</v>
      </c>
      <c r="D9" s="14" t="n">
        <v>290000</v>
      </c>
      <c r="E9" s="14" t="n">
        <v>195000</v>
      </c>
      <c r="F9" s="14" t="n">
        <v>152000</v>
      </c>
      <c r="G9" s="14" t="n">
        <v>-140000</v>
      </c>
      <c r="H9" s="15">
        <f>SUM(C9:G9)</f>
        <v/>
      </c>
      <c r="I9" s="16">
        <f>D9/SUM(C9:F9)</f>
        <v/>
      </c>
    </row>
    <row r="10" ht="20" customHeight="1">
      <c r="B10" s="25" t="inlineStr">
        <is>
          <t>Mai</t>
        </is>
      </c>
      <c r="C10" s="14" t="n">
        <v>2690000</v>
      </c>
      <c r="D10" s="14" t="n">
        <v>310000</v>
      </c>
      <c r="E10" s="14" t="n">
        <v>220000</v>
      </c>
      <c r="F10" s="14" t="n">
        <v>155000</v>
      </c>
      <c r="G10" s="14" t="n">
        <v>-145000</v>
      </c>
      <c r="H10" s="15">
        <f>SUM(C10:G10)</f>
        <v/>
      </c>
      <c r="I10" s="16">
        <f>D10/SUM(C10:F10)</f>
        <v/>
      </c>
    </row>
    <row r="11" ht="20" customHeight="1">
      <c r="B11" s="25" t="inlineStr">
        <is>
          <t>Juni</t>
        </is>
      </c>
      <c r="C11" s="14" t="n">
        <v>2710000</v>
      </c>
      <c r="D11" s="14" t="n">
        <v>360000</v>
      </c>
      <c r="E11" s="14" t="n">
        <v>235000</v>
      </c>
      <c r="F11" s="14" t="n">
        <v>160000</v>
      </c>
      <c r="G11" s="14" t="n">
        <v>-150000</v>
      </c>
      <c r="H11" s="15">
        <f>SUM(C11:G11)</f>
        <v/>
      </c>
      <c r="I11" s="16">
        <f>D11/SUM(C11:F11)</f>
        <v/>
      </c>
    </row>
    <row r="12" ht="20" customHeight="1">
      <c r="B12" s="25" t="inlineStr">
        <is>
          <t>Juli</t>
        </is>
      </c>
      <c r="C12" s="14" t="n">
        <v>2680000</v>
      </c>
      <c r="D12" s="14" t="n">
        <v>380000</v>
      </c>
      <c r="E12" s="14" t="n">
        <v>205000</v>
      </c>
      <c r="F12" s="14" t="n">
        <v>152000</v>
      </c>
      <c r="G12" s="14" t="n">
        <v>-155000</v>
      </c>
      <c r="H12" s="15">
        <f>SUM(C12:G12)</f>
        <v/>
      </c>
      <c r="I12" s="16">
        <f>D12/SUM(C12:F12)</f>
        <v/>
      </c>
    </row>
    <row r="13" ht="20" customHeight="1">
      <c r="B13" s="25" t="inlineStr">
        <is>
          <t>August</t>
        </is>
      </c>
      <c r="C13" s="14" t="n">
        <v>2710000</v>
      </c>
      <c r="D13" s="14" t="n">
        <v>410000</v>
      </c>
      <c r="E13" s="14" t="n">
        <v>215000</v>
      </c>
      <c r="F13" s="14" t="n">
        <v>158000</v>
      </c>
      <c r="G13" s="14" t="n">
        <v>-160000</v>
      </c>
      <c r="H13" s="15">
        <f>SUM(C13:G13)</f>
        <v/>
      </c>
      <c r="I13" s="16">
        <f>D13/SUM(C13:F13)</f>
        <v/>
      </c>
    </row>
    <row r="14" ht="22" customHeight="1">
      <c r="B14" s="20" t="inlineStr">
        <is>
          <t>TOTAL YTD</t>
        </is>
      </c>
      <c r="C14" s="21">
        <f>SUM(C6:C13)</f>
        <v/>
      </c>
      <c r="D14" s="21">
        <f>SUM(D6:D13)</f>
        <v/>
      </c>
      <c r="E14" s="21">
        <f>SUM(E6:E13)</f>
        <v/>
      </c>
      <c r="F14" s="21">
        <f>SUM(F6:F13)</f>
        <v/>
      </c>
      <c r="G14" s="21">
        <f>SUM(G6:G13)</f>
        <v/>
      </c>
      <c r="H14" s="21">
        <f>SUM(H6:H13)</f>
        <v/>
      </c>
      <c r="I14" s="26">
        <f>D14/SUM(C14:F14)</f>
        <v/>
      </c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3" customWidth="1" min="3" max="3"/>
    <col width="14" customWidth="1" min="4" max="4"/>
    <col width="23" customWidth="1" min="5" max="5"/>
    <col width="16" customWidth="1" min="6" max="6"/>
    <col width="25" customWidth="1" min="7" max="7"/>
    <col width="26" customWidth="1" min="8" max="8"/>
    <col width="20" customWidth="1" min="9" max="9"/>
  </cols>
  <sheetData>
    <row r="1"/>
    <row r="2">
      <c r="B2" s="5" t="inlineStr">
        <is>
          <t>ENHETSVIS VIKARSTOPP OG TILTAKSOPPFØLGING</t>
        </is>
      </c>
    </row>
    <row r="3">
      <c r="B3" s="6" t="inlineStr">
        <is>
          <t>Kvantifisering av månedlig spareeffekt ved innføring av vikarstopp (Tilleggsbevilgning § 14-5)</t>
        </is>
      </c>
    </row>
    <row r="4"/>
    <row r="5" ht="24" customHeight="1">
      <c r="B5" s="10" t="inlineStr">
        <is>
          <t>Enhetskode</t>
        </is>
      </c>
      <c r="C5" s="10" t="inlineStr">
        <is>
          <t>Enhetsnavn</t>
        </is>
      </c>
      <c r="D5" s="10" t="inlineStr">
        <is>
          <t>Sektor</t>
        </is>
      </c>
      <c r="E5" s="11" t="inlineStr">
        <is>
          <t>Vikar YTD (Art 1020)</t>
        </is>
      </c>
      <c r="F5" s="11" t="inlineStr">
        <is>
          <t>Normert Ramme</t>
        </is>
      </c>
      <c r="G5" s="11" t="inlineStr">
        <is>
          <t>Mnd. Besparelse Tiltak</t>
        </is>
      </c>
      <c r="H5" s="11" t="inlineStr">
        <is>
          <t>Restårseffekt (Sep-Des)</t>
        </is>
      </c>
      <c r="I5" s="10" t="inlineStr">
        <is>
          <t>Status Port 9</t>
        </is>
      </c>
    </row>
    <row r="6" ht="20" customHeight="1">
      <c r="B6" s="12" t="inlineStr">
        <is>
          <t>2020</t>
        </is>
      </c>
      <c r="C6" s="13" t="inlineStr">
        <is>
          <t>Grim Skole (Grunnskole)</t>
        </is>
      </c>
      <c r="D6" s="13" t="inlineStr">
        <is>
          <t>Oppvekst</t>
        </is>
      </c>
      <c r="E6" s="14" t="n">
        <v>1420000</v>
      </c>
      <c r="F6" s="14" t="n">
        <v>550000</v>
      </c>
      <c r="G6" s="14" t="n">
        <v>170000</v>
      </c>
      <c r="H6" s="27">
        <f>G6*4</f>
        <v/>
      </c>
      <c r="I6" s="17" t="inlineStr">
        <is>
          <t>GODKJENT (Port 9)</t>
        </is>
      </c>
    </row>
    <row r="7" ht="20" customHeight="1">
      <c r="B7" s="12" t="inlineStr">
        <is>
          <t>2540</t>
        </is>
      </c>
      <c r="C7" s="13" t="inlineStr">
        <is>
          <t>Randesund Døgnbemannet Boenhet</t>
        </is>
      </c>
      <c r="D7" s="13" t="inlineStr">
        <is>
          <t>Helse</t>
        </is>
      </c>
      <c r="E7" s="14" t="n">
        <v>1060000</v>
      </c>
      <c r="F7" s="14" t="n">
        <v>480000</v>
      </c>
      <c r="G7" s="14" t="n">
        <v>210000</v>
      </c>
      <c r="H7" s="27">
        <f>G7*4</f>
        <v/>
      </c>
      <c r="I7" s="19" t="inlineStr">
        <is>
          <t>UNDER BEHANDLING</t>
        </is>
      </c>
    </row>
    <row r="8" ht="20" customHeight="1">
      <c r="B8" s="12" t="inlineStr">
        <is>
          <t>2021</t>
        </is>
      </c>
      <c r="C8" s="13" t="inlineStr">
        <is>
          <t>Lund Barnehage</t>
        </is>
      </c>
      <c r="D8" s="13" t="inlineStr">
        <is>
          <t>Oppvekst</t>
        </is>
      </c>
      <c r="E8" s="14" t="n">
        <v>450000</v>
      </c>
      <c r="F8" s="14" t="n">
        <v>280000</v>
      </c>
      <c r="G8" s="14" t="n">
        <v>65000</v>
      </c>
      <c r="H8" s="27">
        <f>G8*4</f>
        <v/>
      </c>
      <c r="I8" s="17" t="inlineStr">
        <is>
          <t>GODKJENT (Port 9)</t>
        </is>
      </c>
    </row>
    <row r="9" ht="20" customHeight="1">
      <c r="B9" s="12" t="inlineStr">
        <is>
          <t>3010</t>
        </is>
      </c>
      <c r="C9" s="13" t="inlineStr">
        <is>
          <t>Teknisk Drift og Utemiljø</t>
        </is>
      </c>
      <c r="D9" s="13" t="inlineStr">
        <is>
          <t>Byutvikling</t>
        </is>
      </c>
      <c r="E9" s="14" t="n">
        <v>220000</v>
      </c>
      <c r="F9" s="14" t="n">
        <v>180000</v>
      </c>
      <c r="G9" s="14" t="n">
        <v>35000</v>
      </c>
      <c r="H9" s="27">
        <f>G9*4</f>
        <v/>
      </c>
      <c r="I9" s="19" t="inlineStr">
        <is>
          <t>I RUTE</t>
        </is>
      </c>
    </row>
    <row r="10" ht="22" customHeight="1">
      <c r="B10" s="20" t="inlineStr">
        <is>
          <t>TOTAL</t>
        </is>
      </c>
      <c r="C10" s="20" t="inlineStr">
        <is>
          <t>Kvantifisert Tiltakseffekt</t>
        </is>
      </c>
      <c r="E10" s="21">
        <f>SUM(E6:E9)</f>
        <v/>
      </c>
      <c r="F10" s="21">
        <f>SUM(F6:F9)</f>
        <v/>
      </c>
      <c r="G10" s="21">
        <f>SUM(G6:G9)</f>
        <v/>
      </c>
      <c r="H10" s="21">
        <f>SUM(H6:H9)</f>
        <v/>
      </c>
    </row>
  </sheetData>
  <mergeCells count="2">
    <mergeCell ref="B3:H3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6" customWidth="1" min="3" max="3"/>
    <col width="14" customWidth="1" min="4" max="4"/>
    <col width="14" customWidth="1" min="5" max="5"/>
    <col width="23" customWidth="1" min="6" max="6"/>
    <col width="20" customWidth="1" min="7" max="7"/>
    <col width="23" customWidth="1" min="8" max="8"/>
    <col width="24" customWidth="1" min="9" max="9"/>
  </cols>
  <sheetData>
    <row r="1"/>
    <row r="2">
      <c r="B2" s="5" t="inlineStr">
        <is>
          <t>ALDERSFORDELT REFUSJONSKRAV NAV (ART 1600)</t>
        </is>
      </c>
    </row>
    <row r="3">
      <c r="B3" s="6" t="inlineStr">
        <is>
          <t>Oppfølging av utestående sykepengerefusjoner fra NAV for å sikre overholdelse av bruttoprinsippet § 14-6</t>
        </is>
      </c>
    </row>
    <row r="4"/>
    <row r="5" ht="24" customHeight="1">
      <c r="B5" s="10" t="inlineStr">
        <is>
          <t>Sektor</t>
        </is>
      </c>
      <c r="C5" s="11" t="inlineStr">
        <is>
          <t>Ikke Forfalt (0–30 dgr)</t>
        </is>
      </c>
      <c r="D5" s="11" t="inlineStr">
        <is>
          <t>31–60 dager</t>
        </is>
      </c>
      <c r="E5" s="11" t="inlineStr">
        <is>
          <t>61–90 dager</t>
        </is>
      </c>
      <c r="F5" s="11" t="inlineStr">
        <is>
          <t>&gt; 90 dager (Kritisk)</t>
        </is>
      </c>
      <c r="G5" s="11" t="inlineStr">
        <is>
          <t>Samlet Utestående</t>
        </is>
      </c>
      <c r="H5" s="11" t="inlineStr">
        <is>
          <t>Bokført Refusjon YTD</t>
        </is>
      </c>
      <c r="I5" s="11" t="inlineStr">
        <is>
          <t>Etterslep vs Budsjett</t>
        </is>
      </c>
    </row>
    <row r="6" ht="20" customHeight="1">
      <c r="B6" s="12" t="inlineStr">
        <is>
          <t>01 Sektor Oppvekst</t>
        </is>
      </c>
      <c r="C6" s="14" t="n">
        <v>145000</v>
      </c>
      <c r="D6" s="14" t="n">
        <v>85000</v>
      </c>
      <c r="E6" s="14" t="n">
        <v>45000</v>
      </c>
      <c r="F6" s="14" t="n">
        <v>35000</v>
      </c>
      <c r="G6" s="15">
        <f>SUM(C6:F6)</f>
        <v/>
      </c>
      <c r="H6" s="14" t="n">
        <v>-650000</v>
      </c>
      <c r="I6" s="28" t="n">
        <v>150000</v>
      </c>
    </row>
    <row r="7" ht="20" customHeight="1">
      <c r="B7" s="12" t="inlineStr">
        <is>
          <t>02 Sektor Helse og Mestring</t>
        </is>
      </c>
      <c r="C7" s="14" t="n">
        <v>195000</v>
      </c>
      <c r="D7" s="14" t="n">
        <v>120000</v>
      </c>
      <c r="E7" s="14" t="n">
        <v>65000</v>
      </c>
      <c r="F7" s="14" t="n">
        <v>55000</v>
      </c>
      <c r="G7" s="15">
        <f>SUM(C7:F7)</f>
        <v/>
      </c>
      <c r="H7" s="14" t="n">
        <v>-420000</v>
      </c>
      <c r="I7" s="28" t="n">
        <v>180000</v>
      </c>
    </row>
    <row r="8" ht="20" customHeight="1">
      <c r="B8" s="12" t="inlineStr">
        <is>
          <t>03 Sektor Byutvikling</t>
        </is>
      </c>
      <c r="C8" s="14" t="n">
        <v>35000</v>
      </c>
      <c r="D8" s="14" t="n">
        <v>18000</v>
      </c>
      <c r="E8" s="14" t="n">
        <v>8000</v>
      </c>
      <c r="F8" s="14" t="n">
        <v>4000</v>
      </c>
      <c r="G8" s="15">
        <f>SUM(C8:F8)</f>
        <v/>
      </c>
      <c r="H8" s="14" t="n">
        <v>-35000</v>
      </c>
      <c r="I8" s="28" t="n">
        <v>12000</v>
      </c>
    </row>
    <row r="9" ht="20" customHeight="1">
      <c r="B9" s="12" t="inlineStr">
        <is>
          <t>04 Øvrige Sektorer</t>
        </is>
      </c>
      <c r="C9" s="14" t="n">
        <v>18000</v>
      </c>
      <c r="D9" s="14" t="n">
        <v>9000</v>
      </c>
      <c r="E9" s="14" t="n">
        <v>4000</v>
      </c>
      <c r="F9" s="14" t="n">
        <v>2000</v>
      </c>
      <c r="G9" s="15">
        <f>SUM(C9:F9)</f>
        <v/>
      </c>
      <c r="H9" s="14" t="n">
        <v>-15000</v>
      </c>
      <c r="I9" s="28" t="n">
        <v>5000</v>
      </c>
    </row>
    <row r="10" ht="22" customHeight="1">
      <c r="B10" s="20" t="inlineStr">
        <is>
          <t>TOTAL</t>
        </is>
      </c>
      <c r="C10" s="21">
        <f>SUM(C6:C9)</f>
        <v/>
      </c>
      <c r="D10" s="21">
        <f>SUM(D6:D9)</f>
        <v/>
      </c>
      <c r="E10" s="21">
        <f>SUM(E6:E9)</f>
        <v/>
      </c>
      <c r="F10" s="21">
        <f>SUM(F6:F9)</f>
        <v/>
      </c>
      <c r="G10" s="21">
        <f>SUM(G6:G9)</f>
        <v/>
      </c>
      <c r="H10" s="21">
        <f>SUM(H6:H9)</f>
        <v/>
      </c>
      <c r="I10" s="21">
        <f>SUM(I6:I9)</f>
        <v/>
      </c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2026-10-18T15:01:10Z</dcterms:created>
  <dcterms:modified xmlns:dcterms="http://purl.org/dc/terms/" xmlns:xsi="http://www.w3.org/2001/XMLSchema-instance" xsi:type="dcterms:W3CDTF">2026-10-18T15:01:10Z</dcterms:modified>
</cp:coreProperties>
</file>