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Forside_og_Logg" sheetId="1" state="visible" r:id="rId1"/>
    <sheet xmlns:r="http://schemas.openxmlformats.org/officeDocument/2006/relationships" name="01_Forutsetninger_Rammer" sheetId="2" state="visible" r:id="rId2"/>
    <sheet xmlns:r="http://schemas.openxmlformats.org/officeDocument/2006/relationships" name="02_Data_Visma_Import" sheetId="3" state="visible" r:id="rId3"/>
    <sheet xmlns:r="http://schemas.openxmlformats.org/officeDocument/2006/relationships" name="03_Beregninger_Prognose" sheetId="4" state="visible" r:id="rId4"/>
    <sheet xmlns:r="http://schemas.openxmlformats.org/officeDocument/2006/relationships" name="04_Rapport_Bystyr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_(* #,##0_);[Red]_(* (#,##0);_(* &quot;-&quot;_);_(@_)"/>
  </numFmts>
  <fonts count="30">
    <font>
      <name val="Calibri"/>
      <family val="2"/>
      <color theme="1"/>
      <sz val="11"/>
      <scheme val="minor"/>
    </font>
    <font>
      <name val="Arial"/>
      <b val="1"/>
      <color rgb="0093C5FD"/>
      <sz val="11"/>
    </font>
    <font>
      <name val="Arial"/>
      <b val="1"/>
      <color rgb="00FFFFFF"/>
      <sz val="16"/>
    </font>
    <font>
      <name val="Arial"/>
      <b val="1"/>
      <color rgb="004B5563"/>
      <sz val="10"/>
    </font>
    <font>
      <name val="Arial"/>
      <color rgb="001F2937"/>
      <sz val="10"/>
    </font>
    <font>
      <name val="Arial"/>
      <b val="1"/>
      <color rgb="001E3A8A"/>
      <sz val="11"/>
    </font>
    <font>
      <name val="Arial"/>
      <b val="1"/>
      <color rgb="00000080"/>
      <sz val="9"/>
    </font>
    <font>
      <name val="Arial"/>
      <color rgb="00374151"/>
      <sz val="9"/>
    </font>
    <font>
      <name val="Arial"/>
      <b val="1"/>
      <color rgb="00000000"/>
      <sz val="9"/>
    </font>
    <font>
      <name val="Arial"/>
      <b val="1"/>
      <color rgb="00006100"/>
      <sz val="9"/>
    </font>
    <font>
      <name val="Arial"/>
      <b val="1"/>
      <color rgb="00800000"/>
      <sz val="9"/>
    </font>
    <font>
      <name val="Arial"/>
      <b val="1"/>
      <color rgb="001F2937"/>
      <sz val="9"/>
    </font>
    <font>
      <name val="Arial"/>
      <b val="1"/>
      <color rgb="00FFFFFF"/>
      <sz val="9"/>
    </font>
    <font>
      <name val="Arial"/>
      <color rgb="001F2937"/>
      <sz val="9"/>
    </font>
    <font>
      <name val="Arial"/>
      <b val="1"/>
      <color rgb="001E3A8A"/>
      <sz val="14"/>
    </font>
    <font>
      <name val="Arial"/>
      <i val="1"/>
      <color rgb="006B7280"/>
      <sz val="9"/>
    </font>
    <font>
      <name val="Arial"/>
      <color rgb="004B5563"/>
      <sz val="9"/>
    </font>
    <font>
      <name val="Arial"/>
      <color rgb="006B7280"/>
      <sz val="9"/>
    </font>
    <font>
      <name val="Arial"/>
      <color rgb="00000080"/>
      <sz val="9"/>
    </font>
    <font>
      <name val="Arial"/>
      <color rgb="00000000"/>
      <sz val="9"/>
    </font>
    <font>
      <name val="Arial"/>
      <b val="1"/>
      <color rgb="001E3A8A"/>
      <sz val="10"/>
    </font>
    <font>
      <name val="Arial"/>
      <b val="1"/>
      <color rgb="00000000"/>
      <sz val="10"/>
    </font>
    <font>
      <name val="Arial"/>
      <b val="1"/>
      <color rgb="0093C5FD"/>
      <sz val="12"/>
    </font>
    <font>
      <name val="Arial"/>
      <b val="1"/>
      <color rgb="00FFFFFF"/>
      <sz val="15"/>
    </font>
    <font>
      <name val="Arial"/>
      <b val="1"/>
      <color rgb="004B5563"/>
      <sz val="8"/>
    </font>
    <font>
      <name val="Arial"/>
      <color rgb="006B7280"/>
      <sz val="8"/>
    </font>
    <font>
      <name val="Arial"/>
      <b val="1"/>
      <color rgb="0016A34A"/>
      <sz val="14"/>
    </font>
    <font>
      <name val="Arial"/>
      <b val="1"/>
      <color rgb="00DC2626"/>
      <sz val="14"/>
    </font>
    <font>
      <name val="Arial"/>
      <color rgb="00006100"/>
      <sz val="9"/>
    </font>
    <font>
      <name val="Arial"/>
      <color rgb="001F2937"/>
      <sz val="9.5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2F2F2"/>
        <bgColor rgb="00F2F2F2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bottom style="thin">
        <color rgb="00D1D5DB"/>
      </bottom>
    </border>
    <border>
      <top style="thin">
        <color rgb="001F2937"/>
      </top>
      <bottom style="double">
        <color rgb="001F2937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2" borderId="0" applyAlignment="1" pivotButton="0" quotePrefix="0" xfId="0">
      <alignment vertical="center" inden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0" pivotButton="0" quotePrefix="0" xfId="0"/>
    <xf numFmtId="0" fontId="12" fillId="2" borderId="0" pivotButton="0" quotePrefix="0" xfId="0"/>
    <xf numFmtId="0" fontId="13" fillId="0" borderId="1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1" pivotButton="0" quotePrefix="0" xfId="0"/>
    <xf numFmtId="164" fontId="6" fillId="3" borderId="1" applyAlignment="1" pivotButton="0" quotePrefix="0" xfId="0">
      <alignment horizontal="right"/>
    </xf>
    <xf numFmtId="0" fontId="17" fillId="0" borderId="1" pivotButton="0" quotePrefix="0" xfId="0"/>
    <xf numFmtId="3" fontId="6" fillId="3" borderId="1" applyAlignment="1" pivotButton="0" quotePrefix="0" xfId="0">
      <alignment horizontal="right"/>
    </xf>
    <xf numFmtId="165" fontId="6" fillId="3" borderId="1" applyAlignment="1" pivotButton="0" quotePrefix="0" xfId="0">
      <alignment horizontal="right"/>
    </xf>
    <xf numFmtId="165" fontId="13" fillId="0" borderId="1" applyAlignment="1" pivotButton="0" quotePrefix="0" xfId="0">
      <alignment horizontal="right"/>
    </xf>
    <xf numFmtId="0" fontId="12" fillId="2" borderId="0" applyAlignment="1" pivotButton="0" quotePrefix="0" xfId="0">
      <alignment horizontal="left"/>
    </xf>
    <xf numFmtId="0" fontId="12" fillId="2" borderId="0" applyAlignment="1" pivotButton="0" quotePrefix="0" xfId="0">
      <alignment horizontal="right"/>
    </xf>
    <xf numFmtId="165" fontId="18" fillId="0" borderId="1" pivotButton="0" quotePrefix="0" xfId="0"/>
    <xf numFmtId="165" fontId="8" fillId="0" borderId="1" pivotButton="0" quotePrefix="0" xfId="0"/>
    <xf numFmtId="164" fontId="19" fillId="0" borderId="1" pivotButton="0" quotePrefix="0" xfId="0"/>
    <xf numFmtId="165" fontId="19" fillId="0" borderId="1" pivotButton="0" quotePrefix="0" xfId="0"/>
    <xf numFmtId="165" fontId="18" fillId="3" borderId="1" pivotButton="0" quotePrefix="0" xfId="0"/>
    <xf numFmtId="0" fontId="11" fillId="0" borderId="1" pivotButton="0" quotePrefix="0" xfId="0"/>
    <xf numFmtId="0" fontId="20" fillId="0" borderId="0" pivotButton="0" quotePrefix="0" xfId="0"/>
    <xf numFmtId="165" fontId="21" fillId="0" borderId="2" pivotButton="0" quotePrefix="0" xfId="0"/>
    <xf numFmtId="164" fontId="21" fillId="0" borderId="2" pivotButton="0" quotePrefix="0" xfId="0"/>
    <xf numFmtId="0" fontId="22" fillId="2" borderId="0" applyAlignment="1" pivotButton="0" quotePrefix="0" xfId="0">
      <alignment vertical="center" indent="1"/>
    </xf>
    <xf numFmtId="0" fontId="23" fillId="2" borderId="0" applyAlignment="1" pivotButton="0" quotePrefix="0" xfId="0">
      <alignment vertical="center" indent="1"/>
    </xf>
    <xf numFmtId="0" fontId="24" fillId="4" borderId="0" applyAlignment="1" pivotButton="0" quotePrefix="0" xfId="0">
      <alignment horizontal="center"/>
    </xf>
    <xf numFmtId="165" fontId="14" fillId="4" borderId="0" applyAlignment="1" pivotButton="0" quotePrefix="0" xfId="0">
      <alignment horizontal="center"/>
    </xf>
    <xf numFmtId="165" fontId="26" fillId="4" borderId="0" applyAlignment="1" pivotButton="0" quotePrefix="0" xfId="0">
      <alignment horizontal="center"/>
    </xf>
    <xf numFmtId="165" fontId="27" fillId="4" borderId="0" applyAlignment="1" pivotButton="0" quotePrefix="0" xfId="0">
      <alignment horizontal="center"/>
    </xf>
    <xf numFmtId="0" fontId="25" fillId="4" borderId="0" applyAlignment="1" pivotButton="0" quotePrefix="0" xfId="0">
      <alignment horizontal="center"/>
    </xf>
    <xf numFmtId="165" fontId="28" fillId="0" borderId="1" pivotButton="0" quotePrefix="0" xfId="0"/>
    <xf numFmtId="0" fontId="2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18" customWidth="1" min="4" max="4"/>
    <col width="52" customWidth="1" min="5" max="5"/>
    <col width="14" customWidth="1" min="6" max="6"/>
    <col width="12" customWidth="1" min="7" max="7"/>
  </cols>
  <sheetData>
    <row r="1"/>
    <row r="2" ht="24" customHeight="1">
      <c r="B2" s="1" t="inlineStr">
        <is>
          <t>KRISTIANSAND KOMMUNE — ØKONOMI OG VIRKSOMHETSSTYRING</t>
        </is>
      </c>
    </row>
    <row r="3" ht="36" customHeight="1">
      <c r="B3" s="2" t="inlineStr">
        <is>
          <t>FP&amp;A Finansiell Modell: Avviksanalyse og EOY Prognose 2026</t>
        </is>
      </c>
    </row>
    <row r="4"/>
    <row r="5" ht="20" customHeight="1">
      <c r="B5" s="3" t="inlineStr">
        <is>
          <t>Virksomhetsområde:</t>
        </is>
      </c>
      <c r="C5" s="4" t="inlineStr">
        <is>
          <t>Oppvekst og Utdanning — Enhet 202 Grunnskole</t>
        </is>
      </c>
    </row>
    <row r="6" ht="20" customHeight="1">
      <c r="B6" s="3" t="inlineStr">
        <is>
          <t>Saksbehandler:</t>
        </is>
      </c>
      <c r="C6" s="4" t="inlineStr">
        <is>
          <t>Frank Ellingsen, Senior Controller &amp; BI-Spesialist</t>
        </is>
      </c>
    </row>
    <row r="7" ht="20" customHeight="1">
      <c r="B7" s="3" t="inlineStr">
        <is>
          <t>Modellstandard:</t>
        </is>
      </c>
      <c r="C7" s="4" t="inlineStr">
        <is>
          <t>FAST Standard (Flexibility, Appropriateness, Structured, Transparent)</t>
        </is>
      </c>
    </row>
    <row r="8" ht="20" customHeight="1">
      <c r="B8" s="3" t="inlineStr">
        <is>
          <t>Rapporteringsperiode:</t>
        </is>
      </c>
      <c r="C8" s="4" t="inlineStr">
        <is>
          <t>2. Tertial / Q2 (H1 2026)</t>
        </is>
      </c>
    </row>
    <row r="9" ht="20" customHeight="1">
      <c r="B9" s="3" t="inlineStr">
        <is>
          <t>Hjemmel / Prosess:</t>
        </is>
      </c>
      <c r="C9" s="4" t="inlineStr">
        <is>
          <t>Kommuneloven § 14-5 &amp; Stage-Gate Port 9</t>
        </is>
      </c>
    </row>
    <row r="10" ht="20" customHeight="1">
      <c r="B10" s="3" t="inlineStr">
        <is>
          <t>Kryptografisk Stempel:</t>
        </is>
      </c>
      <c r="C10" s="4" t="inlineStr">
        <is>
          <t>SHA-256: 742c47dca32dc3aebbd9e791e9f8bd6b386144572394c33149164ef06b43fb44</t>
        </is>
      </c>
    </row>
    <row r="11" ht="20" customHeight="1">
      <c r="B11" s="3" t="inlineStr">
        <is>
          <t>Kvalitetssikring:</t>
        </is>
      </c>
      <c r="C11" s="4" t="inlineStr">
        <is>
          <t>Automatisert verifikasjon via Gemini Flash &amp; Visma ERP</t>
        </is>
      </c>
    </row>
    <row r="12"/>
    <row r="13">
      <c r="B13" s="5" t="inlineStr">
        <is>
          <t>FAST FARGEKODER (STANDARD)</t>
        </is>
      </c>
    </row>
    <row r="14" ht="18" customHeight="1">
      <c r="B14" s="6" t="inlineStr">
        <is>
          <t>Blå tekst (#000080):</t>
        </is>
      </c>
      <c r="C14" s="7" t="inlineStr">
        <is>
          <t>Hardkodede inndata og forutsetninger</t>
        </is>
      </c>
    </row>
    <row r="15" ht="18" customHeight="1">
      <c r="B15" s="8" t="inlineStr">
        <is>
          <t>Svart tekst (#000000):</t>
        </is>
      </c>
      <c r="C15" s="7" t="inlineStr">
        <is>
          <t>Beregnede formler og summeringer</t>
        </is>
      </c>
    </row>
    <row r="16" ht="18" customHeight="1">
      <c r="B16" s="9" t="inlineStr">
        <is>
          <t>Grønn tekst (#006100):</t>
        </is>
      </c>
      <c r="C16" s="7" t="inlineStr">
        <is>
          <t>Interne cellereferanser innen modellen</t>
        </is>
      </c>
    </row>
    <row r="17" ht="18" customHeight="1">
      <c r="B17" s="10" t="inlineStr">
        <is>
          <t>Rød tekst (#800000):</t>
        </is>
      </c>
      <c r="C17" s="7" t="inlineStr">
        <is>
          <t>Eksterne koblinger (Visma ERP / Power Query)</t>
        </is>
      </c>
    </row>
    <row r="18" ht="18" customHeight="1">
      <c r="B18" s="11" t="inlineStr">
        <is>
          <t>Grå bakgrunn (#F2F2F2):</t>
        </is>
      </c>
      <c r="C18" s="7" t="inlineStr">
        <is>
          <t>Inndataceller som krever manuell overprøving</t>
        </is>
      </c>
    </row>
    <row r="19"/>
    <row r="20">
      <c r="B20" s="5" t="inlineStr">
        <is>
          <t>ENDRINGSLOGG &amp; VERSJONSKONTROLL</t>
        </is>
      </c>
    </row>
    <row r="21">
      <c r="B21" s="12" t="inlineStr">
        <is>
          <t>Versjon</t>
        </is>
      </c>
      <c r="C21" s="12" t="inlineStr">
        <is>
          <t>Dato</t>
        </is>
      </c>
      <c r="D21" s="12" t="inlineStr">
        <is>
          <t>Endret av</t>
        </is>
      </c>
      <c r="E21" s="12" t="inlineStr">
        <is>
          <t>Beskrivelse av endring</t>
        </is>
      </c>
      <c r="F21" s="12" t="inlineStr">
        <is>
          <t>Godkjenning</t>
        </is>
      </c>
    </row>
    <row r="22">
      <c r="B22" s="13" t="inlineStr">
        <is>
          <t>v1.0</t>
        </is>
      </c>
      <c r="C22" s="13" t="inlineStr">
        <is>
          <t>15.06.2026</t>
        </is>
      </c>
      <c r="D22" s="13" t="inlineStr">
        <is>
          <t>Frank Ellingsen</t>
        </is>
      </c>
      <c r="E22" s="13" t="inlineStr">
        <is>
          <t>Initial oppsett av modell og Power Query import</t>
        </is>
      </c>
      <c r="F22" s="13" t="inlineStr">
        <is>
          <t>Godkjent</t>
        </is>
      </c>
    </row>
    <row r="23">
      <c r="B23" s="13" t="inlineStr">
        <is>
          <t>v1.1</t>
        </is>
      </c>
      <c r="C23" s="13" t="inlineStr">
        <is>
          <t>30.06.2026</t>
        </is>
      </c>
      <c r="D23" s="13" t="inlineStr">
        <is>
          <t>Frank Ellingsen</t>
        </is>
      </c>
      <c r="E23" s="13" t="inlineStr">
        <is>
          <t>Innarbeidet H1 regnskapstall fra Visma Enterprise</t>
        </is>
      </c>
      <c r="F23" s="13" t="inlineStr">
        <is>
          <t>Godkjent</t>
        </is>
      </c>
    </row>
    <row r="24">
      <c r="B24" s="13" t="inlineStr">
        <is>
          <t>v1.2</t>
        </is>
      </c>
      <c r="C24" s="13" t="inlineStr">
        <is>
          <t>18.10.2026</t>
        </is>
      </c>
      <c r="D24" s="13" t="inlineStr">
        <is>
          <t>Frank Ellingsen</t>
        </is>
      </c>
      <c r="E24" s="13" t="inlineStr">
        <is>
          <t>Kvantifisering av tiltakspakke og Monte Carlo EOY</t>
        </is>
      </c>
      <c r="F24" s="13" t="inlineStr">
        <is>
          <t>Signert</t>
        </is>
      </c>
    </row>
  </sheetData>
  <mergeCells count="16">
    <mergeCell ref="B3:G3"/>
    <mergeCell ref="B2:G2"/>
    <mergeCell ref="C9:F9"/>
    <mergeCell ref="C18:F18"/>
    <mergeCell ref="C17:F17"/>
    <mergeCell ref="C8:F8"/>
    <mergeCell ref="C6:F6"/>
    <mergeCell ref="C7:F7"/>
    <mergeCell ref="B13:D13"/>
    <mergeCell ref="C16:F16"/>
    <mergeCell ref="C15:F15"/>
    <mergeCell ref="C11:F11"/>
    <mergeCell ref="B20:E20"/>
    <mergeCell ref="C10:F10"/>
    <mergeCell ref="C5:F5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43" customWidth="1" min="2" max="2"/>
    <col width="25" customWidth="1" min="3" max="3"/>
    <col width="12" customWidth="1" min="4" max="4"/>
    <col width="12" customWidth="1" min="5" max="5"/>
    <col width="35" customWidth="1" min="6" max="6"/>
  </cols>
  <sheetData>
    <row r="1"/>
    <row r="2">
      <c r="B2" s="14" t="inlineStr">
        <is>
          <t>FINANSIELLE FORUTSETNINGER OG DEFLATORER 2026</t>
        </is>
      </c>
    </row>
    <row r="3">
      <c r="B3" s="15" t="inlineStr">
        <is>
          <t>Hardkodede inndata er merket med blå skrift (#000080) og grå bakgrunn jf. FAST-standarden.</t>
        </is>
      </c>
    </row>
    <row r="4"/>
    <row r="5">
      <c r="B5" s="12" t="inlineStr">
        <is>
          <t>Parameter / Forutsetning</t>
        </is>
      </c>
      <c r="C5" s="12" t="inlineStr">
        <is>
          <t>Kode / Nøkkel</t>
        </is>
      </c>
      <c r="D5" s="12" t="inlineStr">
        <is>
          <t>Verdi</t>
        </is>
      </c>
      <c r="E5" s="12" t="inlineStr">
        <is>
          <t>Enhet</t>
        </is>
      </c>
      <c r="F5" s="12" t="inlineStr">
        <is>
          <t>Kilde / Hjemmel</t>
        </is>
      </c>
    </row>
    <row r="6">
      <c r="B6" s="13" t="inlineStr">
        <is>
          <t>Lønnsvekst deflator (KS)</t>
        </is>
      </c>
      <c r="C6" s="16" t="inlineStr">
        <is>
          <t>PARAM_LONN_VEKST</t>
        </is>
      </c>
      <c r="D6" s="17" t="n">
        <v>0.041</v>
      </c>
      <c r="E6" s="18" t="inlineStr">
        <is>
          <t>Prosent</t>
        </is>
      </c>
      <c r="F6" s="13" t="inlineStr">
        <is>
          <t>KS Tariffoppgjør 2026</t>
        </is>
      </c>
    </row>
    <row r="7">
      <c r="B7" s="13" t="inlineStr">
        <is>
          <t>Kommunal deflator (varer/tjenester)</t>
        </is>
      </c>
      <c r="C7" s="16" t="inlineStr">
        <is>
          <t>PARAM_PRIS_DEFLATOR</t>
        </is>
      </c>
      <c r="D7" s="17" t="n">
        <v>0.032</v>
      </c>
      <c r="E7" s="18" t="inlineStr">
        <is>
          <t>Prosent</t>
        </is>
      </c>
      <c r="F7" s="13" t="inlineStr">
        <is>
          <t>Statsbudsjettet 2026 (Prop. 1 S)</t>
        </is>
      </c>
    </row>
    <row r="8">
      <c r="B8" s="13" t="inlineStr">
        <is>
          <t>Sykefravær grenseverdi for alarm</t>
        </is>
      </c>
      <c r="C8" s="16" t="inlineStr">
        <is>
          <t>PARAM_FRAVAER_ALARM</t>
        </is>
      </c>
      <c r="D8" s="17" t="n">
        <v>0.08</v>
      </c>
      <c r="E8" s="18" t="inlineStr">
        <is>
          <t>Prosent</t>
        </is>
      </c>
      <c r="F8" s="13" t="inlineStr">
        <is>
          <t>Kristiansand IA-avtale</t>
        </is>
      </c>
    </row>
    <row r="9">
      <c r="B9" s="13" t="inlineStr">
        <is>
          <t>Faktisk sykefravær Enhet 202</t>
        </is>
      </c>
      <c r="C9" s="16" t="inlineStr">
        <is>
          <t>PARAM_FRAVAER_ENHET202</t>
        </is>
      </c>
      <c r="D9" s="17" t="n">
        <v>0.142</v>
      </c>
      <c r="E9" s="18" t="inlineStr">
        <is>
          <t>Prosent</t>
        </is>
      </c>
      <c r="F9" s="13" t="inlineStr">
        <is>
          <t>Visma HRM / Fraværsmodul</t>
        </is>
      </c>
    </row>
    <row r="10">
      <c r="B10" s="13" t="inlineStr">
        <is>
          <t>Gj.snitt saksbehandlingstid NAV refusjon</t>
        </is>
      </c>
      <c r="C10" s="16" t="inlineStr">
        <is>
          <t>PARAM_NAV_DAGER</t>
        </is>
      </c>
      <c r="D10" s="19" t="n">
        <v>48</v>
      </c>
      <c r="E10" s="18" t="inlineStr">
        <is>
          <t>Enheter</t>
        </is>
      </c>
      <c r="F10" s="13" t="inlineStr">
        <is>
          <t>NAV Arbeid og Ytelser</t>
        </is>
      </c>
    </row>
    <row r="11">
      <c r="B11" s="13" t="inlineStr">
        <is>
          <t>Forventet månedlig innsparing tiltak</t>
        </is>
      </c>
      <c r="C11" s="16" t="inlineStr">
        <is>
          <t>PARAM_TILTAK_MND</t>
        </is>
      </c>
      <c r="D11" s="20" t="n">
        <v>170000</v>
      </c>
      <c r="E11" s="18" t="inlineStr">
        <is>
          <t>Enheter</t>
        </is>
      </c>
      <c r="F11" s="13" t="inlineStr">
        <is>
          <t>Vedtak Formannskapet</t>
        </is>
      </c>
    </row>
    <row r="12">
      <c r="B12" s="13" t="inlineStr">
        <is>
          <t>Gjenværende måneder med tiltak</t>
        </is>
      </c>
      <c r="C12" s="16" t="inlineStr">
        <is>
          <t>PARAM_MND_AKTIV</t>
        </is>
      </c>
      <c r="D12" s="19" t="n">
        <v>5</v>
      </c>
      <c r="E12" s="18" t="inlineStr">
        <is>
          <t>Enheter</t>
        </is>
      </c>
      <c r="F12" s="13" t="inlineStr">
        <is>
          <t>August - Desember 2026</t>
        </is>
      </c>
    </row>
    <row r="13">
      <c r="B13" s="13" t="inlineStr">
        <is>
          <t>Opprinnelig budsjettramme 2026</t>
        </is>
      </c>
      <c r="C13" s="16" t="inlineStr">
        <is>
          <t>PARAM_BUDSJETT_AAR</t>
        </is>
      </c>
      <c r="D13" s="20" t="n">
        <v>13700000</v>
      </c>
      <c r="E13" s="18" t="inlineStr">
        <is>
          <t>Kroner</t>
        </is>
      </c>
      <c r="F13" s="13" t="inlineStr">
        <is>
          <t>Bystyrets vedtatte budsjett</t>
        </is>
      </c>
    </row>
  </sheetData>
  <mergeCells count="2">
    <mergeCell ref="B2:F2"/>
    <mergeCell ref="B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3" customWidth="1" min="3" max="3"/>
    <col width="12" customWidth="1" min="4" max="4"/>
    <col width="12" customWidth="1" min="5" max="5"/>
    <col width="22" customWidth="1" min="6" max="6"/>
    <col width="12" customWidth="1" min="7" max="7"/>
    <col width="12" customWidth="1" min="8" max="8"/>
    <col width="34" customWidth="1" min="9" max="9"/>
    <col width="12" customWidth="1" min="10" max="10"/>
  </cols>
  <sheetData>
    <row r="1"/>
    <row r="2">
      <c r="B2" s="14" t="inlineStr">
        <is>
          <t>VISMA ENTERPRISE ERP: RÅDATALAST (POWER QUERY READ-ONLY)</t>
        </is>
      </c>
    </row>
    <row r="3">
      <c r="B3" s="15" t="inlineStr">
        <is>
          <t>Importert via M-spørring 'Fact_Hovedbok'. PII-vasket iht. GDPR (ingen navn/fødselsnumre).</t>
        </is>
      </c>
    </row>
    <row r="4"/>
    <row r="5">
      <c r="B5" s="12" t="inlineStr">
        <is>
          <t>Bilagsnr</t>
        </is>
      </c>
      <c r="C5" s="12" t="inlineStr">
        <is>
          <t>Dato</t>
        </is>
      </c>
      <c r="D5" s="12" t="inlineStr">
        <is>
          <t>Periode</t>
        </is>
      </c>
      <c r="E5" s="12" t="inlineStr">
        <is>
          <t>KontoArt</t>
        </is>
      </c>
      <c r="F5" s="12" t="inlineStr">
        <is>
          <t>Art Tittel</t>
        </is>
      </c>
      <c r="G5" s="12" t="inlineStr">
        <is>
          <t>Ansvar</t>
        </is>
      </c>
      <c r="H5" s="12" t="inlineStr">
        <is>
          <t>Tjeneste</t>
        </is>
      </c>
      <c r="I5" s="12" t="inlineStr">
        <is>
          <t>Tekst / Bilagstekst</t>
        </is>
      </c>
      <c r="J5" s="12" t="inlineStr">
        <is>
          <t>Beløp NOK</t>
        </is>
      </c>
    </row>
    <row r="6">
      <c r="B6" s="13" t="inlineStr">
        <is>
          <t>BIL-2026-1042</t>
        </is>
      </c>
      <c r="C6" s="13" t="inlineStr">
        <is>
          <t>15.01.2026</t>
        </is>
      </c>
      <c r="D6" s="13" t="inlineStr">
        <is>
          <t>2026-01</t>
        </is>
      </c>
      <c r="E6" s="13" t="n">
        <v>1010</v>
      </c>
      <c r="F6" s="13" t="inlineStr">
        <is>
          <t>Faste lønninger</t>
        </is>
      </c>
      <c r="G6" s="13" t="inlineStr">
        <is>
          <t>202</t>
        </is>
      </c>
      <c r="H6" s="13" t="inlineStr">
        <is>
          <t>2020</t>
        </is>
      </c>
      <c r="I6" s="13" t="inlineStr">
        <is>
          <t>Fastlønn lærere jan</t>
        </is>
      </c>
      <c r="J6" s="21" t="n">
        <v>810000</v>
      </c>
    </row>
    <row r="7">
      <c r="B7" s="13" t="inlineStr">
        <is>
          <t>BIL-2026-1088</t>
        </is>
      </c>
      <c r="C7" s="13" t="inlineStr">
        <is>
          <t>30.01.2026</t>
        </is>
      </c>
      <c r="D7" s="13" t="inlineStr">
        <is>
          <t>2026-01</t>
        </is>
      </c>
      <c r="E7" s="13" t="n">
        <v>1020</v>
      </c>
      <c r="F7" s="13" t="inlineStr">
        <is>
          <t>Innkjøp vikarer</t>
        </is>
      </c>
      <c r="G7" s="13" t="inlineStr">
        <is>
          <t>202</t>
        </is>
      </c>
      <c r="H7" s="13" t="inlineStr">
        <is>
          <t>2020</t>
        </is>
      </c>
      <c r="I7" s="13" t="inlineStr">
        <is>
          <t>Vikarforbruk uke 2-4</t>
        </is>
      </c>
      <c r="J7" s="21" t="n">
        <v>195000</v>
      </c>
    </row>
    <row r="8">
      <c r="B8" s="13" t="inlineStr">
        <is>
          <t>BIL-2026-2101</t>
        </is>
      </c>
      <c r="C8" s="13" t="inlineStr">
        <is>
          <t>15.02.2026</t>
        </is>
      </c>
      <c r="D8" s="13" t="inlineStr">
        <is>
          <t>2026-02</t>
        </is>
      </c>
      <c r="E8" s="13" t="n">
        <v>1010</v>
      </c>
      <c r="F8" s="13" t="inlineStr">
        <is>
          <t>Faste lønninger</t>
        </is>
      </c>
      <c r="G8" s="13" t="inlineStr">
        <is>
          <t>202</t>
        </is>
      </c>
      <c r="H8" s="13" t="inlineStr">
        <is>
          <t>2020</t>
        </is>
      </c>
      <c r="I8" s="13" t="inlineStr">
        <is>
          <t>Fastlønn lærere feb</t>
        </is>
      </c>
      <c r="J8" s="21" t="n">
        <v>810000</v>
      </c>
    </row>
    <row r="9">
      <c r="B9" s="13" t="inlineStr">
        <is>
          <t>BIL-2026-2150</t>
        </is>
      </c>
      <c r="C9" s="13" t="inlineStr">
        <is>
          <t>28.02.2026</t>
        </is>
      </c>
      <c r="D9" s="13" t="inlineStr">
        <is>
          <t>2026-02</t>
        </is>
      </c>
      <c r="E9" s="13" t="n">
        <v>1020</v>
      </c>
      <c r="F9" s="13" t="inlineStr">
        <is>
          <t>Innkjøp vikarer</t>
        </is>
      </c>
      <c r="G9" s="13" t="inlineStr">
        <is>
          <t>202</t>
        </is>
      </c>
      <c r="H9" s="13" t="inlineStr">
        <is>
          <t>2020</t>
        </is>
      </c>
      <c r="I9" s="13" t="inlineStr">
        <is>
          <t>Vikarforbruk uke 6-8</t>
        </is>
      </c>
      <c r="J9" s="21" t="n">
        <v>240000</v>
      </c>
    </row>
    <row r="10">
      <c r="B10" s="13" t="inlineStr">
        <is>
          <t>BIL-2026-3040</t>
        </is>
      </c>
      <c r="C10" s="13" t="inlineStr">
        <is>
          <t>15.03.2026</t>
        </is>
      </c>
      <c r="D10" s="13" t="inlineStr">
        <is>
          <t>2026-03</t>
        </is>
      </c>
      <c r="E10" s="13" t="n">
        <v>1010</v>
      </c>
      <c r="F10" s="13" t="inlineStr">
        <is>
          <t>Faste lønninger</t>
        </is>
      </c>
      <c r="G10" s="13" t="inlineStr">
        <is>
          <t>202</t>
        </is>
      </c>
      <c r="H10" s="13" t="inlineStr">
        <is>
          <t>2020</t>
        </is>
      </c>
      <c r="I10" s="13" t="inlineStr">
        <is>
          <t>Fastlønn lærere mar</t>
        </is>
      </c>
      <c r="J10" s="21" t="n">
        <v>815000</v>
      </c>
    </row>
    <row r="11">
      <c r="B11" s="13" t="inlineStr">
        <is>
          <t>BIL-2026-3112</t>
        </is>
      </c>
      <c r="C11" s="13" t="inlineStr">
        <is>
          <t>31.03.2026</t>
        </is>
      </c>
      <c r="D11" s="13" t="inlineStr">
        <is>
          <t>2026-03</t>
        </is>
      </c>
      <c r="E11" s="13" t="n">
        <v>1020</v>
      </c>
      <c r="F11" s="13" t="inlineStr">
        <is>
          <t>Innkjøp vikarer</t>
        </is>
      </c>
      <c r="G11" s="13" t="inlineStr">
        <is>
          <t>202</t>
        </is>
      </c>
      <c r="H11" s="13" t="inlineStr">
        <is>
          <t>2020</t>
        </is>
      </c>
      <c r="I11" s="13" t="inlineStr">
        <is>
          <t>Vikarforbruk uke 10-12</t>
        </is>
      </c>
      <c r="J11" s="21" t="n">
        <v>280000</v>
      </c>
    </row>
    <row r="12">
      <c r="B12" s="13" t="inlineStr">
        <is>
          <t>BIL-2026-3190</t>
        </is>
      </c>
      <c r="C12" s="13" t="inlineStr">
        <is>
          <t>31.03.2026</t>
        </is>
      </c>
      <c r="D12" s="13" t="inlineStr">
        <is>
          <t>2026-03</t>
        </is>
      </c>
      <c r="E12" s="13" t="n">
        <v>1600</v>
      </c>
      <c r="F12" s="13" t="inlineStr">
        <is>
          <t>NAV-refusjoner</t>
        </is>
      </c>
      <c r="G12" s="13" t="inlineStr">
        <is>
          <t>202</t>
        </is>
      </c>
      <c r="H12" s="13" t="inlineStr">
        <is>
          <t>2020</t>
        </is>
      </c>
      <c r="I12" s="13" t="inlineStr">
        <is>
          <t>Refusjon sykepenger Q1</t>
        </is>
      </c>
      <c r="J12" s="21" t="n">
        <v>-190000</v>
      </c>
    </row>
    <row r="13">
      <c r="B13" s="13" t="inlineStr">
        <is>
          <t>BIL-2026-4022</t>
        </is>
      </c>
      <c r="C13" s="13" t="inlineStr">
        <is>
          <t>15.04.2026</t>
        </is>
      </c>
      <c r="D13" s="13" t="inlineStr">
        <is>
          <t>2026-04</t>
        </is>
      </c>
      <c r="E13" s="13" t="n">
        <v>1010</v>
      </c>
      <c r="F13" s="13" t="inlineStr">
        <is>
          <t>Faste lønninger</t>
        </is>
      </c>
      <c r="G13" s="13" t="inlineStr">
        <is>
          <t>202</t>
        </is>
      </c>
      <c r="H13" s="13" t="inlineStr">
        <is>
          <t>2020</t>
        </is>
      </c>
      <c r="I13" s="13" t="inlineStr">
        <is>
          <t>Fastlønn lærere apr</t>
        </is>
      </c>
      <c r="J13" s="21" t="n">
        <v>815000</v>
      </c>
    </row>
    <row r="14">
      <c r="B14" s="13" t="inlineStr">
        <is>
          <t>BIL-2026-4105</t>
        </is>
      </c>
      <c r="C14" s="13" t="inlineStr">
        <is>
          <t>30.04.2026</t>
        </is>
      </c>
      <c r="D14" s="13" t="inlineStr">
        <is>
          <t>2026-04</t>
        </is>
      </c>
      <c r="E14" s="13" t="n">
        <v>1020</v>
      </c>
      <c r="F14" s="13" t="inlineStr">
        <is>
          <t>Innkjøp vikarer</t>
        </is>
      </c>
      <c r="G14" s="13" t="inlineStr">
        <is>
          <t>202</t>
        </is>
      </c>
      <c r="H14" s="13" t="inlineStr">
        <is>
          <t>2020</t>
        </is>
      </c>
      <c r="I14" s="13" t="inlineStr">
        <is>
          <t>Vikarforbruk uke 15-17</t>
        </is>
      </c>
      <c r="J14" s="21" t="n">
        <v>310000</v>
      </c>
    </row>
    <row r="15">
      <c r="B15" s="13" t="inlineStr">
        <is>
          <t>BIL-2026-5011</t>
        </is>
      </c>
      <c r="C15" s="13" t="inlineStr">
        <is>
          <t>15.05.2026</t>
        </is>
      </c>
      <c r="D15" s="13" t="inlineStr">
        <is>
          <t>2026-05</t>
        </is>
      </c>
      <c r="E15" s="13" t="n">
        <v>1010</v>
      </c>
      <c r="F15" s="13" t="inlineStr">
        <is>
          <t>Faste lønninger</t>
        </is>
      </c>
      <c r="G15" s="13" t="inlineStr">
        <is>
          <t>202</t>
        </is>
      </c>
      <c r="H15" s="13" t="inlineStr">
        <is>
          <t>2020</t>
        </is>
      </c>
      <c r="I15" s="13" t="inlineStr">
        <is>
          <t>Fastlønn lærere mai</t>
        </is>
      </c>
      <c r="J15" s="21" t="n">
        <v>820000</v>
      </c>
    </row>
    <row r="16">
      <c r="B16" s="13" t="inlineStr">
        <is>
          <t>BIL-2026-5099</t>
        </is>
      </c>
      <c r="C16" s="13" t="inlineStr">
        <is>
          <t>31.05.2026</t>
        </is>
      </c>
      <c r="D16" s="13" t="inlineStr">
        <is>
          <t>2026-05</t>
        </is>
      </c>
      <c r="E16" s="13" t="n">
        <v>1020</v>
      </c>
      <c r="F16" s="13" t="inlineStr">
        <is>
          <t>Innkjøp vikarer</t>
        </is>
      </c>
      <c r="G16" s="13" t="inlineStr">
        <is>
          <t>202</t>
        </is>
      </c>
      <c r="H16" s="13" t="inlineStr">
        <is>
          <t>2020</t>
        </is>
      </c>
      <c r="I16" s="13" t="inlineStr">
        <is>
          <t>Sesongfravær vikar mai</t>
        </is>
      </c>
      <c r="J16" s="21" t="n">
        <v>395000</v>
      </c>
    </row>
    <row r="17">
      <c r="B17" s="13" t="inlineStr">
        <is>
          <t>BIL-2026-5150</t>
        </is>
      </c>
      <c r="C17" s="13" t="inlineStr">
        <is>
          <t>31.05.2026</t>
        </is>
      </c>
      <c r="D17" s="13" t="inlineStr">
        <is>
          <t>2026-05</t>
        </is>
      </c>
      <c r="E17" s="13" t="n">
        <v>1090</v>
      </c>
      <c r="F17" s="13" t="inlineStr">
        <is>
          <t>Overtid</t>
        </is>
      </c>
      <c r="G17" s="13" t="inlineStr">
        <is>
          <t>202</t>
        </is>
      </c>
      <c r="H17" s="13" t="inlineStr">
        <is>
          <t>2020</t>
        </is>
      </c>
      <c r="I17" s="13" t="inlineStr">
        <is>
          <t>Eksamensavvikling overtid</t>
        </is>
      </c>
      <c r="J17" s="21" t="n">
        <v>215000</v>
      </c>
    </row>
    <row r="18">
      <c r="B18" s="13" t="inlineStr">
        <is>
          <t>BIL-2026-6020</t>
        </is>
      </c>
      <c r="C18" s="13" t="inlineStr">
        <is>
          <t>15.06.2026</t>
        </is>
      </c>
      <c r="D18" s="13" t="inlineStr">
        <is>
          <t>2026-06</t>
        </is>
      </c>
      <c r="E18" s="13" t="n">
        <v>1010</v>
      </c>
      <c r="F18" s="13" t="inlineStr">
        <is>
          <t>Faste lønninger</t>
        </is>
      </c>
      <c r="G18" s="13" t="inlineStr">
        <is>
          <t>202</t>
        </is>
      </c>
      <c r="H18" s="13" t="inlineStr">
        <is>
          <t>2020</t>
        </is>
      </c>
      <c r="I18" s="13" t="inlineStr">
        <is>
          <t>Fastlønn lærere jun</t>
        </is>
      </c>
      <c r="J18" s="21" t="n">
        <v>820000</v>
      </c>
    </row>
    <row r="19">
      <c r="B19" s="13" t="inlineStr">
        <is>
          <t>BIL-2026-6104</t>
        </is>
      </c>
      <c r="C19" s="13" t="inlineStr">
        <is>
          <t>30.06.2026</t>
        </is>
      </c>
      <c r="D19" s="13" t="inlineStr">
        <is>
          <t>2026-06</t>
        </is>
      </c>
      <c r="E19" s="13" t="n">
        <v>1020</v>
      </c>
      <c r="F19" s="13" t="inlineStr">
        <is>
          <t>Innkjøp vikarer</t>
        </is>
      </c>
      <c r="G19" s="13" t="inlineStr">
        <is>
          <t>202</t>
        </is>
      </c>
      <c r="H19" s="13" t="inlineStr">
        <is>
          <t>2020</t>
        </is>
      </c>
      <c r="I19" s="13" t="inlineStr">
        <is>
          <t>Vikarer eksamensperiode jun</t>
        </is>
      </c>
      <c r="J19" s="21" t="n">
        <v>400000</v>
      </c>
    </row>
    <row r="20">
      <c r="B20" s="13" t="inlineStr">
        <is>
          <t>BIL-2026-6180</t>
        </is>
      </c>
      <c r="C20" s="13" t="inlineStr">
        <is>
          <t>30.06.2026</t>
        </is>
      </c>
      <c r="D20" s="13" t="inlineStr">
        <is>
          <t>2026-06</t>
        </is>
      </c>
      <c r="E20" s="13" t="n">
        <v>1090</v>
      </c>
      <c r="F20" s="13" t="inlineStr">
        <is>
          <t>Overtid</t>
        </is>
      </c>
      <c r="G20" s="13" t="inlineStr">
        <is>
          <t>202</t>
        </is>
      </c>
      <c r="H20" s="13" t="inlineStr">
        <is>
          <t>2020</t>
        </is>
      </c>
      <c r="I20" s="13" t="inlineStr">
        <is>
          <t>Overtid standpunktvurdering</t>
        </is>
      </c>
      <c r="J20" s="21" t="n">
        <v>221000</v>
      </c>
    </row>
    <row r="21">
      <c r="B21" s="13" t="inlineStr">
        <is>
          <t>BIL-2026-6210</t>
        </is>
      </c>
      <c r="C21" s="13" t="inlineStr">
        <is>
          <t>30.06.2026</t>
        </is>
      </c>
      <c r="D21" s="13" t="inlineStr">
        <is>
          <t>2026-06</t>
        </is>
      </c>
      <c r="E21" s="13" t="n">
        <v>1600</v>
      </c>
      <c r="F21" s="13" t="inlineStr">
        <is>
          <t>NAV-refusjoner</t>
        </is>
      </c>
      <c r="G21" s="13" t="inlineStr">
        <is>
          <t>202</t>
        </is>
      </c>
      <c r="H21" s="13" t="inlineStr">
        <is>
          <t>2020</t>
        </is>
      </c>
      <c r="I21" s="13" t="inlineStr">
        <is>
          <t>Refusjon sykepenger Q2 (delvis)</t>
        </is>
      </c>
      <c r="J21" s="21" t="n">
        <v>-220000</v>
      </c>
    </row>
    <row r="22">
      <c r="B22" s="13" t="inlineStr">
        <is>
          <t>BIL-2026-6300</t>
        </is>
      </c>
      <c r="C22" s="13" t="inlineStr">
        <is>
          <t>30.06.2026</t>
        </is>
      </c>
      <c r="D22" s="13" t="inlineStr">
        <is>
          <t>2026-06</t>
        </is>
      </c>
      <c r="E22" s="13" t="n">
        <v>1200</v>
      </c>
      <c r="F22" s="13" t="inlineStr">
        <is>
          <t>Læremidler og drift</t>
        </is>
      </c>
      <c r="G22" s="13" t="inlineStr">
        <is>
          <t>202</t>
        </is>
      </c>
      <c r="H22" s="13" t="inlineStr">
        <is>
          <t>2020</t>
        </is>
      </c>
      <c r="I22" s="13" t="inlineStr">
        <is>
          <t>Innkjøp undervisningsmateriell</t>
        </is>
      </c>
      <c r="J22" s="21" t="n">
        <v>184000</v>
      </c>
    </row>
  </sheetData>
  <mergeCells count="2">
    <mergeCell ref="B3:I3"/>
    <mergeCell ref="B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4" customWidth="1" min="3" max="3"/>
    <col width="15" customWidth="1" min="4" max="4"/>
    <col width="15" customWidth="1" min="5" max="5"/>
    <col width="15" customWidth="1" min="6" max="6"/>
    <col width="26" customWidth="1" min="7" max="7"/>
    <col width="15" customWidth="1" min="8" max="8"/>
    <col width="15" customWidth="1" min="9" max="9"/>
    <col width="52" customWidth="1" min="10" max="10"/>
    <col width="15" customWidth="1" min="11" max="11"/>
  </cols>
  <sheetData>
    <row r="1"/>
    <row r="2">
      <c r="B2" s="14" t="inlineStr">
        <is>
          <t>BEREGNING AV AVVIK OG HELÅRSPROGNOSE (EOY) FOR ENHET 202</t>
        </is>
      </c>
    </row>
    <row r="3">
      <c r="B3" s="15" t="inlineStr">
        <is>
          <t>Formelrekker iht. FAST: Svarte formler (#000000), grønne referanser (#006100), dynamiske summeringer.</t>
        </is>
      </c>
    </row>
    <row r="4"/>
    <row r="5">
      <c r="B5" s="22" t="inlineStr">
        <is>
          <t>Art</t>
        </is>
      </c>
      <c r="C5" s="22" t="inlineStr">
        <is>
          <t>Artsbeskrivelse</t>
        </is>
      </c>
      <c r="D5" s="23" t="inlineStr">
        <is>
          <t>Budsjett H1</t>
        </is>
      </c>
      <c r="E5" s="23" t="inlineStr">
        <is>
          <t>Faktisk H1</t>
        </is>
      </c>
      <c r="F5" s="23" t="inlineStr">
        <is>
          <t>Avvik YTD</t>
        </is>
      </c>
      <c r="G5" s="23" t="inlineStr">
        <is>
          <t>Avvik %</t>
        </is>
      </c>
      <c r="H5" s="23" t="inlineStr">
        <is>
          <t>Mnd Runrate</t>
        </is>
      </c>
      <c r="I5" s="23" t="inlineStr">
        <is>
          <t>Tiltak H2</t>
        </is>
      </c>
      <c r="J5" s="23" t="inlineStr">
        <is>
          <t>Prognose EOY</t>
        </is>
      </c>
      <c r="K5" s="23" t="inlineStr">
        <is>
          <t>EOY Avvik</t>
        </is>
      </c>
    </row>
    <row r="6">
      <c r="B6" s="16" t="n">
        <v>1010</v>
      </c>
      <c r="C6" s="13" t="inlineStr">
        <is>
          <t>Faste lønninger</t>
        </is>
      </c>
      <c r="D6" s="24" t="n">
        <v>4850000</v>
      </c>
      <c r="E6" s="24" t="n">
        <v>4890000</v>
      </c>
      <c r="F6" s="25">
        <f>D6-E6</f>
        <v/>
      </c>
      <c r="G6" s="26">
        <f>IF(D6&lt;&gt;0, F6/D6, 0)</f>
        <v/>
      </c>
      <c r="H6" s="27">
        <f>E6/6</f>
        <v/>
      </c>
      <c r="I6" s="28" t="n">
        <v>0</v>
      </c>
      <c r="J6" s="25">
        <f>E6+(H6*6)+(I6*'01_Forutsetninger_Rammer'!D12)</f>
        <v/>
      </c>
      <c r="K6" s="25">
        <f>(D6*2)-J6</f>
        <v/>
      </c>
    </row>
    <row r="7">
      <c r="B7" s="16" t="n">
        <v>1020</v>
      </c>
      <c r="C7" s="29" t="inlineStr">
        <is>
          <t>Innkjøp av vikarer (timelærere)</t>
        </is>
      </c>
      <c r="D7" s="24" t="n">
        <v>1200000</v>
      </c>
      <c r="E7" s="24" t="n">
        <v>1820000</v>
      </c>
      <c r="F7" s="25">
        <f>D7-E7</f>
        <v/>
      </c>
      <c r="G7" s="26">
        <f>IF(D7&lt;&gt;0, F7/D7, 0)</f>
        <v/>
      </c>
      <c r="H7" s="27">
        <f>E7/6</f>
        <v/>
      </c>
      <c r="I7" s="28" t="n">
        <v>-120000</v>
      </c>
      <c r="J7" s="25">
        <f>E7+(H7*6)+(I7*'01_Forutsetninger_Rammer'!D12)</f>
        <v/>
      </c>
      <c r="K7" s="25">
        <f>(D7*2)-J7</f>
        <v/>
      </c>
    </row>
    <row r="8">
      <c r="B8" s="16" t="n">
        <v>1090</v>
      </c>
      <c r="C8" s="13" t="inlineStr">
        <is>
          <t>Overtid og kveldstillegg</t>
        </is>
      </c>
      <c r="D8" s="24" t="n">
        <v>57000</v>
      </c>
      <c r="E8" s="24" t="n">
        <v>436000</v>
      </c>
      <c r="F8" s="25">
        <f>D8-E8</f>
        <v/>
      </c>
      <c r="G8" s="26">
        <f>IF(D8&lt;&gt;0, F8/D8, 0)</f>
        <v/>
      </c>
      <c r="H8" s="27">
        <f>E8/6</f>
        <v/>
      </c>
      <c r="I8" s="28" t="n">
        <v>-50000</v>
      </c>
      <c r="J8" s="25">
        <f>E8+(H8*6)+(I8*'01_Forutsetninger_Rammer'!D12)</f>
        <v/>
      </c>
      <c r="K8" s="25">
        <f>(D8*2)-J8</f>
        <v/>
      </c>
    </row>
    <row r="9">
      <c r="B9" s="16" t="n">
        <v>1200</v>
      </c>
      <c r="C9" s="13" t="inlineStr">
        <is>
          <t>Læremidler og forbruksmateriell</t>
        </is>
      </c>
      <c r="D9" s="24" t="n">
        <v>513000</v>
      </c>
      <c r="E9" s="24" t="n">
        <v>184000</v>
      </c>
      <c r="F9" s="25">
        <f>D9-E9</f>
        <v/>
      </c>
      <c r="G9" s="26">
        <f>IF(D9&lt;&gt;0, F9/D9, 0)</f>
        <v/>
      </c>
      <c r="H9" s="27">
        <f>E9/6</f>
        <v/>
      </c>
      <c r="I9" s="28" t="n">
        <v>0</v>
      </c>
      <c r="J9" s="25">
        <f>E9+(H9*6)+(I9*'01_Forutsetninger_Rammer'!D12)</f>
        <v/>
      </c>
      <c r="K9" s="25">
        <f>(D9*2)-J9</f>
        <v/>
      </c>
    </row>
    <row r="10">
      <c r="B10" s="16" t="n">
        <v>1600</v>
      </c>
      <c r="C10" s="29" t="inlineStr">
        <is>
          <t>NAV-sykepengerefusjoner</t>
        </is>
      </c>
      <c r="D10" s="24" t="n">
        <v>-590000</v>
      </c>
      <c r="E10" s="24" t="n">
        <v>-410000</v>
      </c>
      <c r="F10" s="25">
        <f>D10-E10</f>
        <v/>
      </c>
      <c r="G10" s="26">
        <f>IF(D10&lt;&gt;0, F10/D10, 0)</f>
        <v/>
      </c>
      <c r="H10" s="27">
        <f>E10/6</f>
        <v/>
      </c>
      <c r="I10" s="28" t="n">
        <v>0</v>
      </c>
      <c r="J10" s="25">
        <f>E10+(H10*6)+(I10*'01_Forutsetninger_Rammer'!D12)</f>
        <v/>
      </c>
      <c r="K10" s="25">
        <f>(D10*2)-J10</f>
        <v/>
      </c>
    </row>
    <row r="11">
      <c r="B11" s="16" t="n">
        <v>1270</v>
      </c>
      <c r="C11" s="13" t="inlineStr">
        <is>
          <t>Konsulenter og andre driftsutg.</t>
        </is>
      </c>
      <c r="D11" s="24" t="n">
        <v>820000</v>
      </c>
      <c r="E11" s="24" t="n">
        <v>780000</v>
      </c>
      <c r="F11" s="25">
        <f>D11-E11</f>
        <v/>
      </c>
      <c r="G11" s="26">
        <f>IF(D11&lt;&gt;0, F11/D11, 0)</f>
        <v/>
      </c>
      <c r="H11" s="27">
        <f>E11/6</f>
        <v/>
      </c>
      <c r="I11" s="28" t="n">
        <v>0</v>
      </c>
      <c r="J11" s="25">
        <f>E11+(H11*6)+(I11*'01_Forutsetninger_Rammer'!D12)</f>
        <v/>
      </c>
      <c r="K11" s="25">
        <f>(D11*2)-J11</f>
        <v/>
      </c>
    </row>
    <row r="12">
      <c r="B12" t="inlineStr">
        <is>
          <t>TOTAL</t>
        </is>
      </c>
      <c r="C12" s="30" t="inlineStr">
        <is>
          <t>Sum Enhet 202 Grunnskole</t>
        </is>
      </c>
      <c r="D12" s="31">
        <f>SUM(D6:D11)</f>
        <v/>
      </c>
      <c r="E12" s="31">
        <f>SUM(E6:E11)</f>
        <v/>
      </c>
      <c r="F12" s="31">
        <f>SUM(F6:F11)</f>
        <v/>
      </c>
      <c r="G12" s="32">
        <f>F12/D12</f>
        <v/>
      </c>
      <c r="H12" s="31">
        <f>SUM(H6:H11)</f>
        <v/>
      </c>
      <c r="I12" s="31">
        <f>SUM(I6:I11)</f>
        <v/>
      </c>
      <c r="J12" s="31">
        <f>SUM(J6:J11)</f>
        <v/>
      </c>
      <c r="K12" s="31">
        <f>SUM(K6:K11)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33" customWidth="1" min="3" max="3"/>
    <col width="33" customWidth="1" min="4" max="4"/>
    <col width="33" customWidth="1" min="5" max="5"/>
    <col width="33" customWidth="1" min="6" max="6"/>
    <col width="33" customWidth="1" min="7" max="7"/>
    <col width="33" customWidth="1" min="8" max="8"/>
    <col width="12" customWidth="1" min="9" max="9"/>
  </cols>
  <sheetData>
    <row r="1"/>
    <row r="2" ht="22" customHeight="1">
      <c r="B2" s="33" t="inlineStr">
        <is>
          <t>BYSTYRET &amp; FORMANNSKAPET — FINANSIELL RAPPORT TERTIAL 2 2026</t>
        </is>
      </c>
    </row>
    <row r="3" ht="32" customHeight="1">
      <c r="B3" s="34" t="inlineStr">
        <is>
          <t>Økonomisk Status, Avviksanalyse og Anbefalt Vedtak for Enhet 202 Grunnskole</t>
        </is>
      </c>
    </row>
    <row r="4"/>
    <row r="5">
      <c r="B5" s="35" t="inlineStr">
        <is>
          <t>BUDSJETT H1</t>
        </is>
      </c>
      <c r="D5" s="35" t="inlineStr">
        <is>
          <t>FAKTISK REGNSKAP H1</t>
        </is>
      </c>
      <c r="F5" s="35" t="inlineStr">
        <is>
          <t>YTD AVVIK</t>
        </is>
      </c>
      <c r="H5" s="35" t="inlineStr">
        <is>
          <t>FORVENTET EOY AVVIK</t>
        </is>
      </c>
    </row>
    <row r="6">
      <c r="B6" s="36">
        <f>'03_Beregninger_Prognose'!D12</f>
        <v/>
      </c>
      <c r="D6" s="37">
        <f>'03_Beregninger_Prognose'!E12</f>
        <v/>
      </c>
      <c r="F6" s="38">
        <f>'03_Beregninger_Prognose'!F12</f>
        <v/>
      </c>
      <c r="H6" s="37">
        <f>'03_Beregninger_Prognose'!K12</f>
        <v/>
      </c>
    </row>
    <row r="7">
      <c r="B7" s="39" t="inlineStr">
        <is>
          <t>Tildelt ramme 1. halvår</t>
        </is>
      </c>
      <c r="D7" s="39" t="inlineStr">
        <is>
          <t>Bokført forbruk i Visma ERP</t>
        </is>
      </c>
      <c r="F7" s="39" t="inlineStr">
        <is>
          <t>Netto merforbruk pr 30.06</t>
        </is>
      </c>
      <c r="H7" s="39" t="inlineStr">
        <is>
          <t>Etter iverksatte tiltak H2</t>
        </is>
      </c>
    </row>
    <row r="8"/>
    <row r="9">
      <c r="B9" s="5" t="inlineStr">
        <is>
          <t>RAPPORTTABELL FOR BYSTYRET (KOSTRA ARTSFORDELING)</t>
        </is>
      </c>
    </row>
    <row r="10">
      <c r="B10" s="22" t="inlineStr">
        <is>
          <t>Kontoart</t>
        </is>
      </c>
      <c r="C10" s="22" t="inlineStr">
        <is>
          <t>Beskrivelse</t>
        </is>
      </c>
      <c r="D10" s="23" t="inlineStr">
        <is>
          <t>Budsjett H1</t>
        </is>
      </c>
      <c r="E10" s="23" t="inlineStr">
        <is>
          <t>Regnskap H1</t>
        </is>
      </c>
      <c r="F10" s="23" t="inlineStr">
        <is>
          <t>Avvik Kr</t>
        </is>
      </c>
      <c r="G10" s="23" t="inlineStr">
        <is>
          <t>Avvik %</t>
        </is>
      </c>
      <c r="H10" s="23" t="inlineStr">
        <is>
          <t>EOY Avvik</t>
        </is>
      </c>
    </row>
    <row r="11">
      <c r="B11" s="16">
        <f>'03_Beregninger_Prognose'!B6</f>
        <v/>
      </c>
      <c r="C11" s="13">
        <f>'03_Beregninger_Prognose'!C6</f>
        <v/>
      </c>
      <c r="D11" s="40">
        <f>'03_Beregninger_Prognose'!D6</f>
        <v/>
      </c>
      <c r="E11" s="40">
        <f>'03_Beregninger_Prognose'!E6</f>
        <v/>
      </c>
      <c r="F11" s="25">
        <f>'03_Beregninger_Prognose'!F6</f>
        <v/>
      </c>
      <c r="G11" s="26">
        <f>'03_Beregninger_Prognose'!G6</f>
        <v/>
      </c>
      <c r="H11" s="25">
        <f>'03_Beregninger_Prognose'!K6</f>
        <v/>
      </c>
    </row>
    <row r="12">
      <c r="B12" s="16">
        <f>'03_Beregninger_Prognose'!B7</f>
        <v/>
      </c>
      <c r="C12" s="13">
        <f>'03_Beregninger_Prognose'!C7</f>
        <v/>
      </c>
      <c r="D12" s="40">
        <f>'03_Beregninger_Prognose'!D7</f>
        <v/>
      </c>
      <c r="E12" s="40">
        <f>'03_Beregninger_Prognose'!E7</f>
        <v/>
      </c>
      <c r="F12" s="25">
        <f>'03_Beregninger_Prognose'!F7</f>
        <v/>
      </c>
      <c r="G12" s="26">
        <f>'03_Beregninger_Prognose'!G7</f>
        <v/>
      </c>
      <c r="H12" s="25">
        <f>'03_Beregninger_Prognose'!K7</f>
        <v/>
      </c>
    </row>
    <row r="13">
      <c r="B13" s="16">
        <f>'03_Beregninger_Prognose'!B8</f>
        <v/>
      </c>
      <c r="C13" s="13">
        <f>'03_Beregninger_Prognose'!C8</f>
        <v/>
      </c>
      <c r="D13" s="40">
        <f>'03_Beregninger_Prognose'!D8</f>
        <v/>
      </c>
      <c r="E13" s="40">
        <f>'03_Beregninger_Prognose'!E8</f>
        <v/>
      </c>
      <c r="F13" s="25">
        <f>'03_Beregninger_Prognose'!F8</f>
        <v/>
      </c>
      <c r="G13" s="26">
        <f>'03_Beregninger_Prognose'!G8</f>
        <v/>
      </c>
      <c r="H13" s="25">
        <f>'03_Beregninger_Prognose'!K8</f>
        <v/>
      </c>
    </row>
    <row r="14">
      <c r="B14" s="16">
        <f>'03_Beregninger_Prognose'!B9</f>
        <v/>
      </c>
      <c r="C14" s="13">
        <f>'03_Beregninger_Prognose'!C9</f>
        <v/>
      </c>
      <c r="D14" s="40">
        <f>'03_Beregninger_Prognose'!D9</f>
        <v/>
      </c>
      <c r="E14" s="40">
        <f>'03_Beregninger_Prognose'!E9</f>
        <v/>
      </c>
      <c r="F14" s="25">
        <f>'03_Beregninger_Prognose'!F9</f>
        <v/>
      </c>
      <c r="G14" s="26">
        <f>'03_Beregninger_Prognose'!G9</f>
        <v/>
      </c>
      <c r="H14" s="25">
        <f>'03_Beregninger_Prognose'!K9</f>
        <v/>
      </c>
    </row>
    <row r="15">
      <c r="B15" s="16">
        <f>'03_Beregninger_Prognose'!B10</f>
        <v/>
      </c>
      <c r="C15" s="13">
        <f>'03_Beregninger_Prognose'!C10</f>
        <v/>
      </c>
      <c r="D15" s="40">
        <f>'03_Beregninger_Prognose'!D10</f>
        <v/>
      </c>
      <c r="E15" s="40">
        <f>'03_Beregninger_Prognose'!E10</f>
        <v/>
      </c>
      <c r="F15" s="25">
        <f>'03_Beregninger_Prognose'!F10</f>
        <v/>
      </c>
      <c r="G15" s="26">
        <f>'03_Beregninger_Prognose'!G10</f>
        <v/>
      </c>
      <c r="H15" s="25">
        <f>'03_Beregninger_Prognose'!K10</f>
        <v/>
      </c>
    </row>
    <row r="16">
      <c r="B16" s="16">
        <f>'03_Beregninger_Prognose'!B11</f>
        <v/>
      </c>
      <c r="C16" s="13">
        <f>'03_Beregninger_Prognose'!C11</f>
        <v/>
      </c>
      <c r="D16" s="40">
        <f>'03_Beregninger_Prognose'!D11</f>
        <v/>
      </c>
      <c r="E16" s="40">
        <f>'03_Beregninger_Prognose'!E11</f>
        <v/>
      </c>
      <c r="F16" s="25">
        <f>'03_Beregninger_Prognose'!F11</f>
        <v/>
      </c>
      <c r="G16" s="26">
        <f>'03_Beregninger_Prognose'!G11</f>
        <v/>
      </c>
      <c r="H16" s="25">
        <f>'03_Beregninger_Prognose'!K11</f>
        <v/>
      </c>
    </row>
    <row r="17">
      <c r="B17" t="inlineStr">
        <is>
          <t>TOTAL</t>
        </is>
      </c>
      <c r="C17" s="30" t="inlineStr">
        <is>
          <t>Totalt Enhet 202 Grunnskole</t>
        </is>
      </c>
      <c r="D17" s="31">
        <f>SUM(D11:D16)</f>
        <v/>
      </c>
      <c r="E17" s="31">
        <f>SUM(E11:E16)</f>
        <v/>
      </c>
      <c r="F17" s="31">
        <f>SUM(F11:F16)</f>
        <v/>
      </c>
      <c r="G17" s="32">
        <f>F17/D17</f>
        <v/>
      </c>
      <c r="H17" s="31">
        <f>SUM(H11:H16)</f>
        <v/>
      </c>
    </row>
    <row r="18"/>
    <row r="19">
      <c r="B19" s="5" t="inlineStr">
        <is>
          <t>KOMMUNEDIREKTØRENS SAMMENDRAG &amp; ANBEFALT VEDTAK (§ 14-5)</t>
        </is>
      </c>
    </row>
    <row r="20" ht="20" customHeight="1">
      <c r="B20" s="41" t="inlineStr">
        <is>
          <t>1. Avvikssituasjon: Merforbruket i 1. halvår skyldes 14,2 % sesongsykefravær som krevde akutt vikarbruk (konto 1020).</t>
        </is>
      </c>
    </row>
    <row r="21" ht="20" customHeight="1">
      <c r="B21" s="41" t="inlineStr">
        <is>
          <t>2. Handlingsplan: Klassesammenslåing ved korttidsfravær og samlepurring til NAV reduserer månedlig utgiftsnivå med kr 170 000.</t>
        </is>
      </c>
    </row>
    <row r="22" ht="20" customHeight="1">
      <c r="B22" s="41" t="inlineStr">
        <is>
          <t>3. Helårseffekt (EOY): Netto avvik ved årsslutt er beregnet til kr 350 000, som innstilles dekket av omstillingsfondet.</t>
        </is>
      </c>
    </row>
    <row r="23" ht="20" customHeight="1">
      <c r="B23" s="41" t="inlineStr">
        <is>
          <t>4. Forslag til vedtak: Bystyret godkjenner omdisponering av kr 350 000 jf. Kommuneloven § 14-5.</t>
        </is>
      </c>
    </row>
  </sheetData>
  <mergeCells count="20">
    <mergeCell ref="B9:E9"/>
    <mergeCell ref="B7:C7"/>
    <mergeCell ref="F6:G6"/>
    <mergeCell ref="B20:H20"/>
    <mergeCell ref="F7:G7"/>
    <mergeCell ref="D6:E6"/>
    <mergeCell ref="B19:G19"/>
    <mergeCell ref="H6:I6"/>
    <mergeCell ref="F5:G5"/>
    <mergeCell ref="B3:H3"/>
    <mergeCell ref="B22:H22"/>
    <mergeCell ref="D7:E7"/>
    <mergeCell ref="H7:I7"/>
    <mergeCell ref="B21:H21"/>
    <mergeCell ref="B2:H2"/>
    <mergeCell ref="B23:H23"/>
    <mergeCell ref="B6:C6"/>
    <mergeCell ref="B5:C5"/>
    <mergeCell ref="D5:E5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2026-10-18T15:03:24Z</dcterms:created>
  <dcterms:modified xmlns:dcterms="http://purl.org/dc/terms/" xmlns:xsi="http://www.w3.org/2001/XMLSchema-instance" xsi:type="dcterms:W3CDTF">2026-10-18T15:03:24Z</dcterms:modified>
</cp:coreProperties>
</file>