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orside_og_Logg" sheetId="1" state="visible" r:id="rId1"/>
    <sheet xmlns:r="http://schemas.openxmlformats.org/officeDocument/2006/relationships" name="01_EVM_Executive_Dashboard" sheetId="2" state="visible" r:id="rId2"/>
    <sheet xmlns:r="http://schemas.openxmlformats.org/officeDocument/2006/relationships" name="02_Periodisert_S_Kurve" sheetId="3" state="visible" r:id="rId3"/>
    <sheet xmlns:r="http://schemas.openxmlformats.org/officeDocument/2006/relationships" name="03_Risiko_og_Usikkerhet" sheetId="4" state="visible" r:id="rId4"/>
    <sheet xmlns:r="http://schemas.openxmlformats.org/officeDocument/2006/relationships" name="04_Kontrollutvalg_Rap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* #,##0_);[Red]_(* (#,##0);_(* &quot;-&quot;_);_(@_)"/>
    <numFmt numFmtId="165" formatCode="0.000"/>
  </numFmts>
  <fonts count="26">
    <font>
      <name val="Calibri"/>
      <family val="2"/>
      <color theme="1"/>
      <sz val="11"/>
      <scheme val="minor"/>
    </font>
    <font>
      <name val="Arial"/>
      <b val="1"/>
      <color rgb="0093C5FD"/>
      <sz val="11"/>
    </font>
    <font>
      <name val="Arial"/>
      <b val="1"/>
      <color rgb="00FFFFFF"/>
      <sz val="15"/>
    </font>
    <font>
      <name val="Arial"/>
      <b val="1"/>
      <color rgb="004B5563"/>
      <sz val="10"/>
    </font>
    <font>
      <name val="Arial"/>
      <color rgb="001F2937"/>
      <sz val="10"/>
    </font>
    <font>
      <name val="Arial"/>
      <b val="1"/>
      <color rgb="001E3A8A"/>
      <sz val="11"/>
    </font>
    <font>
      <name val="Arial"/>
      <b val="1"/>
      <color rgb="00FFFFFF"/>
      <sz val="9"/>
    </font>
    <font>
      <name val="Arial"/>
      <color rgb="001F2937"/>
      <sz val="9"/>
    </font>
    <font>
      <name val="Arial"/>
      <b val="1"/>
      <color rgb="00374151"/>
      <sz val="9"/>
    </font>
    <font>
      <name val="Arial"/>
      <b val="1"/>
      <color rgb="00166534"/>
      <sz val="9"/>
    </font>
    <font>
      <name val="Arial"/>
      <b val="1"/>
      <color rgb="001E3A8A"/>
      <sz val="14"/>
    </font>
    <font>
      <name val="Arial"/>
      <i val="1"/>
      <color rgb="004B5563"/>
      <sz val="10"/>
    </font>
    <font>
      <name val="Arial"/>
      <b val="1"/>
      <color rgb="004B5563"/>
      <sz val="9"/>
    </font>
    <font>
      <name val="Arial"/>
      <b val="1"/>
      <color rgb="00000000"/>
      <sz val="14"/>
    </font>
    <font>
      <name val="Arial"/>
      <i val="1"/>
      <color rgb="006B7280"/>
      <sz val="8"/>
    </font>
    <font>
      <name val="Arial"/>
      <b val="1"/>
      <color rgb="001F2937"/>
      <sz val="11"/>
    </font>
    <font>
      <name val="Arial"/>
      <b val="1"/>
      <color rgb="001F2937"/>
      <sz val="9"/>
    </font>
    <font>
      <name val="Arial"/>
      <color rgb="00000080"/>
      <sz val="9"/>
    </font>
    <font>
      <name val="Arial"/>
      <b val="1"/>
      <color rgb="00000000"/>
      <sz val="9"/>
    </font>
    <font>
      <name val="Arial"/>
      <b val="1"/>
      <color rgb="001E3A8A"/>
      <sz val="10"/>
    </font>
    <font>
      <name val="Arial"/>
      <color rgb="004B5563"/>
      <sz val="9"/>
    </font>
    <font>
      <name val="Arial"/>
      <color rgb="00000000"/>
      <sz val="9"/>
    </font>
    <font>
      <name val="Arial"/>
      <b val="1"/>
      <color rgb="00FFFFFF"/>
      <sz val="14"/>
    </font>
    <font>
      <name val="Arial"/>
      <b val="1"/>
      <color rgb="001F2937"/>
      <sz val="10"/>
    </font>
    <font>
      <name val="Arial"/>
      <b val="1"/>
      <color rgb="00006100"/>
      <sz val="10"/>
    </font>
    <font>
      <name val="Arial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top style="thin">
        <color rgb="001F2937"/>
      </top>
      <bottom style="double">
        <color rgb="001F2937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0" fontId="11" fillId="0" borderId="0" pivotButton="0" quotePrefix="0" xfId="0"/>
    <xf numFmtId="0" fontId="12" fillId="4" borderId="0" applyAlignment="1" pivotButton="0" quotePrefix="0" xfId="0">
      <alignment horizontal="center"/>
    </xf>
    <xf numFmtId="164" fontId="13" fillId="4" borderId="0" applyAlignment="1" pivotButton="0" quotePrefix="0" xfId="0">
      <alignment horizontal="center"/>
    </xf>
    <xf numFmtId="0" fontId="14" fillId="4" borderId="0" applyAlignment="1" pivotButton="0" quotePrefix="0" xfId="0">
      <alignment horizontal="center"/>
    </xf>
    <xf numFmtId="0" fontId="15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right" vertical="center"/>
    </xf>
    <xf numFmtId="0" fontId="16" fillId="0" borderId="1" pivotButton="0" quotePrefix="0" xfId="0"/>
    <xf numFmtId="164" fontId="17" fillId="5" borderId="1" applyAlignment="1" pivotButton="0" quotePrefix="0" xfId="0">
      <alignment horizontal="right"/>
    </xf>
    <xf numFmtId="164" fontId="18" fillId="0" borderId="1" applyAlignment="1" pivotButton="0" quotePrefix="0" xfId="0">
      <alignment horizontal="right"/>
    </xf>
    <xf numFmtId="165" fontId="18" fillId="0" borderId="1" applyAlignment="1" pivotButton="0" quotePrefix="0" xfId="0">
      <alignment horizontal="right"/>
    </xf>
    <xf numFmtId="0" fontId="18" fillId="0" borderId="2" applyAlignment="1" pivotButton="0" quotePrefix="0" xfId="0">
      <alignment horizontal="left"/>
    </xf>
    <xf numFmtId="164" fontId="18" fillId="0" borderId="2" applyAlignment="1" pivotButton="0" quotePrefix="0" xfId="0">
      <alignment horizontal="right"/>
    </xf>
    <xf numFmtId="165" fontId="18" fillId="0" borderId="2" applyAlignment="1" pivotButton="0" quotePrefix="0" xfId="0">
      <alignment horizontal="right"/>
    </xf>
    <xf numFmtId="0" fontId="19" fillId="0" borderId="0" pivotButton="0" quotePrefix="0" xfId="0"/>
    <xf numFmtId="0" fontId="20" fillId="0" borderId="0" pivotButton="0" quotePrefix="0" xfId="0"/>
    <xf numFmtId="0" fontId="10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right"/>
    </xf>
    <xf numFmtId="0" fontId="16" fillId="0" borderId="1" applyAlignment="1" pivotButton="0" quotePrefix="0" xfId="0">
      <alignment horizontal="center"/>
    </xf>
    <xf numFmtId="164" fontId="17" fillId="0" borderId="1" applyAlignment="1" pivotButton="0" quotePrefix="0" xfId="0">
      <alignment horizontal="right"/>
    </xf>
    <xf numFmtId="164" fontId="21" fillId="0" borderId="1" applyAlignment="1" pivotButton="0" quotePrefix="0" xfId="0">
      <alignment horizontal="right"/>
    </xf>
    <xf numFmtId="0" fontId="6" fillId="2" borderId="0" applyAlignment="1" pivotButton="0" quotePrefix="0" xfId="0">
      <alignment horizontal="left"/>
    </xf>
    <xf numFmtId="0" fontId="16" fillId="0" borderId="0" pivotButton="0" quotePrefix="0" xfId="0"/>
    <xf numFmtId="0" fontId="22" fillId="2" borderId="0" applyAlignment="1" pivotButton="0" quotePrefix="0" xfId="0">
      <alignment vertical="center" indent="1"/>
    </xf>
    <xf numFmtId="0" fontId="23" fillId="0" borderId="1" pivotButton="0" quotePrefix="0" xfId="0"/>
    <xf numFmtId="0" fontId="0" fillId="0" borderId="1" pivotButton="0" quotePrefix="0" xfId="0"/>
    <xf numFmtId="164" fontId="24" fillId="0" borderId="1" applyAlignment="1" pivotButton="0" quotePrefix="0" xfId="0">
      <alignment horizontal="right"/>
    </xf>
    <xf numFmtId="165" fontId="24" fillId="0" borderId="1" applyAlignment="1" pivotButton="0" quotePrefix="0" xfId="0">
      <alignment horizontal="right"/>
    </xf>
    <xf numFmtId="0" fontId="12" fillId="0" borderId="0" pivotButton="0" quotePrefix="0" xfId="0"/>
    <xf numFmtId="0" fontId="7" fillId="0" borderId="0" pivotButton="0" quotePrefix="0" xfId="0"/>
    <xf numFmtId="0" fontId="2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3" customWidth="1" min="3" max="3"/>
    <col width="18" customWidth="1" min="4" max="4"/>
    <col width="60" customWidth="1" min="5" max="5"/>
    <col width="12" customWidth="1" min="6" max="6"/>
    <col width="12" customWidth="1" min="7" max="7"/>
    <col width="12" customWidth="1" min="8" max="8"/>
  </cols>
  <sheetData>
    <row r="1"/>
    <row r="2" ht="24" customHeight="1">
      <c r="B2" s="1" t="inlineStr">
        <is>
          <t>KRISTIANSAND KOMMUNE — BYUTVIKLING &amp; EIENDOM</t>
        </is>
      </c>
    </row>
    <row r="3" ht="36" customHeight="1">
      <c r="B3" s="2" t="inlineStr">
        <is>
          <t>Project Controller &amp; Capex Modell: Earned Value Management (ISO 21508)</t>
        </is>
      </c>
    </row>
    <row r="4"/>
    <row r="5" ht="20" customHeight="1">
      <c r="B5" s="3" t="inlineStr">
        <is>
          <t>Dokumenttype:</t>
        </is>
      </c>
      <c r="C5" s="4" t="inlineStr">
        <is>
          <t>Månedlig Investerings- og Fremdriftsrapport (Capex)</t>
        </is>
      </c>
    </row>
    <row r="6" ht="20" customHeight="1">
      <c r="B6" s="3" t="inlineStr">
        <is>
          <t>Saksbehandler:</t>
        </is>
      </c>
      <c r="C6" s="4" t="inlineStr">
        <is>
          <t>Frank Ellingsen, Project Controller &amp; BI-Spesialist</t>
        </is>
      </c>
    </row>
    <row r="7" ht="20" customHeight="1">
      <c r="B7" s="3" t="inlineStr">
        <is>
          <t>Standard / Rammeverk:</t>
        </is>
      </c>
      <c r="C7" s="4" t="inlineStr">
        <is>
          <t>ISO 21508 Earned Value Management &amp; Edward Tufte Data-Ink Ratio</t>
        </is>
      </c>
    </row>
    <row r="8" ht="20" customHeight="1">
      <c r="B8" s="3" t="inlineStr">
        <is>
          <t>Portefølje:</t>
        </is>
      </c>
      <c r="C8" s="4" t="inlineStr">
        <is>
          <t>Investeringsprosjekter 2026 (Vågsbygd Skole, Randesund Boenhet, VA)</t>
        </is>
      </c>
    </row>
    <row r="9" ht="20" customHeight="1">
      <c r="B9" s="3" t="inlineStr">
        <is>
          <t>Gjeldende Periode:</t>
        </is>
      </c>
      <c r="C9" s="4" t="inlineStr">
        <is>
          <t>Per 2. Tertial (Måned 8 / August 2026)</t>
        </is>
      </c>
    </row>
    <row r="10" ht="20" customHeight="1">
      <c r="B10" s="3" t="inlineStr">
        <is>
          <t>Kryptografisk Stempel:</t>
        </is>
      </c>
      <c r="C10" s="4" t="inlineStr">
        <is>
          <t>SHA-256: 92fc763990efd6279c1d58bbe4892449b076920f7ddc9ac6ef1733798c43299b</t>
        </is>
      </c>
    </row>
    <row r="11" ht="20" customHeight="1">
      <c r="B11" s="3" t="inlineStr">
        <is>
          <t>Godkjenning:</t>
        </is>
      </c>
      <c r="C11" s="4" t="inlineStr">
        <is>
          <t>Kvalitetssikret for Formannskapet og Kontrollutvalget</t>
        </is>
      </c>
    </row>
    <row r="12"/>
    <row r="13"/>
    <row r="14">
      <c r="B14" s="5" t="inlineStr">
        <is>
          <t>Revisjons- og Endringslogg (Stage-Gate Port 9):</t>
        </is>
      </c>
    </row>
    <row r="15">
      <c r="B15" s="6" t="inlineStr">
        <is>
          <t>Revisjon</t>
        </is>
      </c>
      <c r="C15" s="6" t="inlineStr">
        <is>
          <t>Dato</t>
        </is>
      </c>
      <c r="D15" s="7" t="inlineStr">
        <is>
          <t>Utført av</t>
        </is>
      </c>
      <c r="E15" s="7" t="inlineStr">
        <is>
          <t>Beskrivelse av endring / Milepæl</t>
        </is>
      </c>
      <c r="F15" s="6" t="inlineStr">
        <is>
          <t>Status</t>
        </is>
      </c>
    </row>
    <row r="16" ht="19" customHeight="1">
      <c r="B16" s="8" t="inlineStr">
        <is>
          <t>v1.0</t>
        </is>
      </c>
      <c r="C16" s="8" t="inlineStr">
        <is>
          <t>15.01.2026</t>
        </is>
      </c>
      <c r="D16" s="9" t="inlineStr">
        <is>
          <t>Frank Ellingsen</t>
        </is>
      </c>
      <c r="E16" s="9" t="inlineStr">
        <is>
          <t>Etablering av periodiserte basisbudsjetter (BAC/PV)</t>
        </is>
      </c>
      <c r="F16" s="10" t="inlineStr">
        <is>
          <t>GODKJENT</t>
        </is>
      </c>
    </row>
    <row r="17" ht="19" customHeight="1">
      <c r="B17" s="8" t="inlineStr">
        <is>
          <t>v1.1</t>
        </is>
      </c>
      <c r="C17" s="8" t="inlineStr">
        <is>
          <t>15.05.2026</t>
        </is>
      </c>
      <c r="D17" s="9" t="inlineStr">
        <is>
          <t>Frank Ellingsen</t>
        </is>
      </c>
      <c r="E17" s="9" t="inlineStr">
        <is>
          <t>T1 rapportering: Grunnarbeid fullført Vågsbygd Skole</t>
        </is>
      </c>
      <c r="F17" s="10" t="inlineStr">
        <is>
          <t>GODKJENT</t>
        </is>
      </c>
    </row>
    <row r="18" ht="19" customHeight="1">
      <c r="B18" s="8" t="inlineStr">
        <is>
          <t>v1.2</t>
        </is>
      </c>
      <c r="C18" s="8" t="inlineStr">
        <is>
          <t>20.08.2026</t>
        </is>
      </c>
      <c r="D18" s="9" t="inlineStr">
        <is>
          <t>Frank Ellingsen</t>
        </is>
      </c>
      <c r="E18" s="9" t="inlineStr">
        <is>
          <t>T2 avviksanalyse: Påløpte kostnader døgnpost Randesund</t>
        </is>
      </c>
      <c r="F18" s="10" t="inlineStr">
        <is>
          <t>GODKJENT</t>
        </is>
      </c>
    </row>
    <row r="19" ht="19" customHeight="1">
      <c r="B19" s="8" t="inlineStr">
        <is>
          <t>v2.0</t>
        </is>
      </c>
      <c r="C19" s="8" t="inlineStr">
        <is>
          <t>14.10.2026</t>
        </is>
      </c>
      <c r="D19" s="9" t="inlineStr">
        <is>
          <t>Frank Ellingsen</t>
        </is>
      </c>
      <c r="E19" s="9" t="inlineStr">
        <is>
          <t>Sluttprognose EAC &amp; P85-usikkerhetsavsetning for Bystyret</t>
        </is>
      </c>
      <c r="F19" s="11" t="inlineStr">
        <is>
          <t>GJELDENDE</t>
        </is>
      </c>
    </row>
  </sheetData>
  <mergeCells count="9">
    <mergeCell ref="C11:H11"/>
    <mergeCell ref="C6:H6"/>
    <mergeCell ref="C10:H10"/>
    <mergeCell ref="C5:H5"/>
    <mergeCell ref="C9:H9"/>
    <mergeCell ref="B2:H2"/>
    <mergeCell ref="C8:H8"/>
    <mergeCell ref="B3:H3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3" customWidth="1" min="3" max="3"/>
    <col width="22" customWidth="1" min="4" max="4"/>
    <col width="16" customWidth="1" min="5" max="5"/>
    <col width="16" customWidth="1" min="6" max="6"/>
    <col width="16" customWidth="1" min="7" max="7"/>
    <col width="19" customWidth="1" min="8" max="8"/>
    <col width="27" customWidth="1" min="9" max="9"/>
    <col width="27" customWidth="1" min="10" max="10"/>
    <col width="19" customWidth="1" min="11" max="11"/>
  </cols>
  <sheetData>
    <row r="1"/>
    <row r="2" ht="26" customHeight="1">
      <c r="B2" s="12" t="inlineStr">
        <is>
          <t>PORTEFØLJEOVERSIKT — EARNED VALUE MANAGEMENT (ISO 21508)</t>
        </is>
      </c>
    </row>
    <row r="3" ht="18" customHeight="1">
      <c r="B3" s="13" t="inlineStr">
        <is>
          <t>Finansiell fremdrift og kostnadseffektivitet per 31.08.2026 (Alle tall i hele NOK ekskl. mva)</t>
        </is>
      </c>
    </row>
    <row r="4"/>
    <row r="5" ht="20" customHeight="1">
      <c r="B5" s="14" t="inlineStr">
        <is>
          <t>Planlagt Verdi (PV)</t>
        </is>
      </c>
      <c r="D5" s="14" t="inlineStr">
        <is>
          <t>Påløpt Kostnad (AC)</t>
        </is>
      </c>
      <c r="F5" s="14" t="inlineStr">
        <is>
          <t>Opptjent Verdi (EV)</t>
        </is>
      </c>
      <c r="H5" s="14" t="inlineStr">
        <is>
          <t>Kostnadsavvik (CV)</t>
        </is>
      </c>
    </row>
    <row r="6" ht="20" customHeight="1">
      <c r="B6" s="15">
        <f>SUM(E11:E13)</f>
        <v/>
      </c>
      <c r="D6" s="15">
        <f>SUM(F11:F13)</f>
        <v/>
      </c>
      <c r="F6" s="15">
        <f>SUM(G11:G13)</f>
        <v/>
      </c>
      <c r="H6" s="15">
        <f>F5-G5</f>
        <v/>
      </c>
    </row>
    <row r="7" ht="20" customHeight="1">
      <c r="B7" s="16" t="inlineStr">
        <is>
          <t>Periodisert budsjett per T2</t>
        </is>
      </c>
      <c r="D7" s="16" t="inlineStr">
        <is>
          <t>Bokført i Visma ERP</t>
        </is>
      </c>
      <c r="F7" s="16" t="inlineStr">
        <is>
          <t>Fysisk utført verdi</t>
        </is>
      </c>
      <c r="H7" s="16" t="inlineStr">
        <is>
          <t>Overforbruk ved negativ verdi</t>
        </is>
      </c>
    </row>
    <row r="8"/>
    <row r="9">
      <c r="B9" s="17" t="inlineStr">
        <is>
          <t>EVM Nøkkeltallstabell per Prosjekt:</t>
        </is>
      </c>
    </row>
    <row r="10" ht="24" customHeight="1">
      <c r="B10" s="18" t="inlineStr">
        <is>
          <t>Prosjektkode</t>
        </is>
      </c>
      <c r="C10" s="18" t="inlineStr">
        <is>
          <t>Prosjektnavn</t>
        </is>
      </c>
      <c r="D10" s="19" t="inlineStr">
        <is>
          <t>Vedtatt Ramme (BAC)</t>
        </is>
      </c>
      <c r="E10" s="19" t="inlineStr">
        <is>
          <t>Planlagt (PV)</t>
        </is>
      </c>
      <c r="F10" s="19" t="inlineStr">
        <is>
          <t>Påløpt (AC)</t>
        </is>
      </c>
      <c r="G10" s="19" t="inlineStr">
        <is>
          <t>Opptjent (EV)</t>
        </is>
      </c>
      <c r="H10" s="19" t="inlineStr">
        <is>
          <t>Kostn.avvik (CV)</t>
        </is>
      </c>
      <c r="I10" s="19" t="inlineStr">
        <is>
          <t>Kostn.indeks (CPI)</t>
        </is>
      </c>
      <c r="J10" s="19" t="inlineStr">
        <is>
          <t>Sluttkostnad (EAC)</t>
        </is>
      </c>
      <c r="K10" s="19" t="inlineStr">
        <is>
          <t>Sluttavvik (VAC)</t>
        </is>
      </c>
    </row>
    <row r="11" ht="20" customHeight="1">
      <c r="B11" s="20" t="inlineStr">
        <is>
          <t>PROJ-101</t>
        </is>
      </c>
      <c r="C11" s="9" t="inlineStr">
        <is>
          <t>Vågsbygd Skole Utvidelse</t>
        </is>
      </c>
      <c r="D11" s="21" t="n">
        <v>185000000</v>
      </c>
      <c r="E11" s="21" t="n">
        <v>115000000</v>
      </c>
      <c r="F11" s="21" t="n">
        <v>104500000</v>
      </c>
      <c r="G11" s="21" t="n">
        <v>95000000</v>
      </c>
      <c r="H11" s="22">
        <f>G11-F11</f>
        <v/>
      </c>
      <c r="I11" s="23">
        <f>IF(F11&gt;0, G11/F11, 1.0)</f>
        <v/>
      </c>
      <c r="J11" s="22">
        <f>IF(I11&gt;0, D11/I11, D11)</f>
        <v/>
      </c>
      <c r="K11" s="22">
        <f>D11-J11</f>
        <v/>
      </c>
    </row>
    <row r="12" ht="20" customHeight="1">
      <c r="B12" s="20" t="inlineStr">
        <is>
          <t>PROJ-201</t>
        </is>
      </c>
      <c r="C12" s="9" t="inlineStr">
        <is>
          <t>Randesund Døgnbemannet Boenhet</t>
        </is>
      </c>
      <c r="D12" s="21" t="n">
        <v>240000000</v>
      </c>
      <c r="E12" s="21" t="n">
        <v>165000000</v>
      </c>
      <c r="F12" s="21" t="n">
        <v>139100000</v>
      </c>
      <c r="G12" s="21" t="n">
        <v>117300000</v>
      </c>
      <c r="H12" s="22">
        <f>G12-F12</f>
        <v/>
      </c>
      <c r="I12" s="23">
        <f>IF(F12&gt;0, G12/F12, 1.0)</f>
        <v/>
      </c>
      <c r="J12" s="22">
        <f>IF(I12&gt;0, D12/I12, D12)</f>
        <v/>
      </c>
      <c r="K12" s="22">
        <f>D12-J12</f>
        <v/>
      </c>
    </row>
    <row r="13" ht="20" customHeight="1">
      <c r="B13" s="20" t="inlineStr">
        <is>
          <t>PROJ-301</t>
        </is>
      </c>
      <c r="C13" s="9" t="inlineStr">
        <is>
          <t>VA-Hovedledning Selvkost</t>
        </is>
      </c>
      <c r="D13" s="21" t="n">
        <v>92000000</v>
      </c>
      <c r="E13" s="21" t="n">
        <v>48000000</v>
      </c>
      <c r="F13" s="21" t="n">
        <v>49300000</v>
      </c>
      <c r="G13" s="21" t="n">
        <v>50600000</v>
      </c>
      <c r="H13" s="22">
        <f>G13-F13</f>
        <v/>
      </c>
      <c r="I13" s="23">
        <f>IF(F13&gt;0, G13/F13, 1.0)</f>
        <v/>
      </c>
      <c r="J13" s="22">
        <f>IF(I13&gt;0, D13/I13, D13)</f>
        <v/>
      </c>
      <c r="K13" s="22">
        <f>D13-J13</f>
        <v/>
      </c>
    </row>
    <row r="14" ht="22" customHeight="1">
      <c r="B14" s="24" t="inlineStr">
        <is>
          <t>TOTAL</t>
        </is>
      </c>
      <c r="C14" s="24" t="inlineStr">
        <is>
          <t>Hele Porteføljen</t>
        </is>
      </c>
      <c r="D14" s="25">
        <f>SUM(D11:D13)</f>
        <v/>
      </c>
      <c r="E14" s="25">
        <f>SUM(E11:E13)</f>
        <v/>
      </c>
      <c r="F14" s="25">
        <f>SUM(F11:F13)</f>
        <v/>
      </c>
      <c r="G14" s="25">
        <f>SUM(G11:G13)</f>
        <v/>
      </c>
      <c r="H14" s="25">
        <f>G14-F14</f>
        <v/>
      </c>
      <c r="I14" s="26">
        <f>IF(F14&gt;0, G14/F14, 1.0)</f>
        <v/>
      </c>
      <c r="J14" s="25">
        <f>IF(I14&gt;0, D14/I14, D14)</f>
        <v/>
      </c>
      <c r="K14" s="25">
        <f>D14-J14</f>
        <v/>
      </c>
    </row>
    <row r="15"/>
    <row r="16">
      <c r="B16" s="27" t="inlineStr">
        <is>
          <t>Metodeforklaring &amp; Retningslinjer (Project Controller):</t>
        </is>
      </c>
    </row>
    <row r="17" ht="18" customHeight="1">
      <c r="B17" s="28" t="inlineStr">
        <is>
          <t>1. CPI &lt; 1.000: Betyr overskridelse per opptjent krone. Randesund Boenhet (0.843) krever omprosjektering av tekniske anlegg.</t>
        </is>
      </c>
    </row>
    <row r="18" ht="18" customHeight="1">
      <c r="B18" s="28" t="inlineStr">
        <is>
          <t>2. VAC (Variance at Completion): Viser estimert sluttoverskridelse. Samlet portefølje har en sluttoverskridelse på kr (80 448 796).</t>
        </is>
      </c>
    </row>
    <row r="19" ht="18" customHeight="1">
      <c r="B19" s="28" t="inlineStr">
        <is>
          <t>3. Inndekning: Eventuelle overskridelser må fremmes for Bystyret som tilleggsbevilgning eller dekkes via disposisjonsfond jf. § 14-5.</t>
        </is>
      </c>
    </row>
  </sheetData>
  <mergeCells count="17">
    <mergeCell ref="D6:E6"/>
    <mergeCell ref="B6:C6"/>
    <mergeCell ref="B3:J3"/>
    <mergeCell ref="D7:E7"/>
    <mergeCell ref="B7:C7"/>
    <mergeCell ref="H6:I6"/>
    <mergeCell ref="B17:K17"/>
    <mergeCell ref="B5:C5"/>
    <mergeCell ref="H7:I7"/>
    <mergeCell ref="F5:G5"/>
    <mergeCell ref="D5:E5"/>
    <mergeCell ref="F7:G7"/>
    <mergeCell ref="B18:K18"/>
    <mergeCell ref="F6:G6"/>
    <mergeCell ref="H5:I5"/>
    <mergeCell ref="B19:K19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26" customWidth="1" min="4" max="4"/>
    <col width="13" customWidth="1" min="5" max="5"/>
    <col width="26" customWidth="1" min="6" max="6"/>
    <col width="31" customWidth="1" min="7" max="7"/>
    <col width="34" customWidth="1" min="8" max="8"/>
    <col width="46" customWidth="1" min="9" max="9"/>
  </cols>
  <sheetData>
    <row r="1"/>
    <row r="2">
      <c r="B2" s="29" t="inlineStr">
        <is>
          <t>MÅNEDLIG FREMDRIFT &amp; PERIODISERT S-KURVE (2026)</t>
        </is>
      </c>
    </row>
    <row r="3">
      <c r="B3" s="13" t="inlineStr">
        <is>
          <t>Akkumulert fremdrift for Vågsbygd Skole Utvidelse (PROJ-101) — Planlagt (PV) vs Påløpt (AC)</t>
        </is>
      </c>
    </row>
    <row r="4"/>
    <row r="5" ht="24" customHeight="1">
      <c r="B5" s="30" t="inlineStr">
        <is>
          <t>Måned</t>
        </is>
      </c>
      <c r="C5" s="31" t="inlineStr">
        <is>
          <t>Planlagt Mnd</t>
        </is>
      </c>
      <c r="D5" s="31" t="inlineStr">
        <is>
          <t>Planlagt Kumulativ (PV)</t>
        </is>
      </c>
      <c r="E5" s="31" t="inlineStr">
        <is>
          <t>Påløpt Mnd</t>
        </is>
      </c>
      <c r="F5" s="31" t="inlineStr">
        <is>
          <t>Påløpt Kumulativ (AC)</t>
        </is>
      </c>
      <c r="G5" s="31" t="inlineStr">
        <is>
          <t>Opptjent Kumulativ (EV)</t>
        </is>
      </c>
      <c r="H5" s="31" t="inlineStr">
        <is>
          <t>Kumulativt Avvik (CV)</t>
        </is>
      </c>
      <c r="I5" s="31" t="inlineStr">
        <is>
          <t>Kostnadsindeks (CPI)</t>
        </is>
      </c>
    </row>
    <row r="6" ht="19" customHeight="1">
      <c r="B6" s="32" t="inlineStr">
        <is>
          <t>Januar</t>
        </is>
      </c>
      <c r="C6" s="33" t="n">
        <v>8000000</v>
      </c>
      <c r="D6" s="34">
        <f>C6</f>
        <v/>
      </c>
      <c r="E6" s="33" t="n">
        <v>7500000</v>
      </c>
      <c r="F6" s="34">
        <f>IF(E6&gt;0, E6, "")</f>
        <v/>
      </c>
      <c r="G6" s="34" t="n">
        <v>7200000</v>
      </c>
      <c r="H6" s="22">
        <f>IF(ISNUMBER(G6), G6-F6, "")</f>
        <v/>
      </c>
      <c r="I6" s="23">
        <f>IF(AND(ISNUMBER(G6), F6&gt;0), G6/F6, "")</f>
        <v/>
      </c>
    </row>
    <row r="7" ht="19" customHeight="1">
      <c r="B7" s="32" t="inlineStr">
        <is>
          <t>Februar</t>
        </is>
      </c>
      <c r="C7" s="33" t="n">
        <v>12000000</v>
      </c>
      <c r="D7" s="34">
        <f>D6+C7</f>
        <v/>
      </c>
      <c r="E7" s="33" t="n">
        <v>11800000</v>
      </c>
      <c r="F7" s="34">
        <f>IF(E7&gt;0, F6+E7, "")</f>
        <v/>
      </c>
      <c r="G7" s="34">
        <f>IF(E7&gt;0, G6+11000000, "")</f>
        <v/>
      </c>
      <c r="H7" s="22">
        <f>IF(ISNUMBER(G7), G7-F7, "")</f>
        <v/>
      </c>
      <c r="I7" s="23">
        <f>IF(AND(ISNUMBER(G7), F7&gt;0), G7/F7, "")</f>
        <v/>
      </c>
    </row>
    <row r="8" ht="19" customHeight="1">
      <c r="B8" s="32" t="inlineStr">
        <is>
          <t>Mars</t>
        </is>
      </c>
      <c r="C8" s="33" t="n">
        <v>15000000</v>
      </c>
      <c r="D8" s="34">
        <f>D7+C8</f>
        <v/>
      </c>
      <c r="E8" s="33" t="n">
        <v>14200000</v>
      </c>
      <c r="F8" s="34">
        <f>IF(E8&gt;0, F7+E8, "")</f>
        <v/>
      </c>
      <c r="G8" s="34">
        <f>IF(E8&gt;0, G7+13500000, "")</f>
        <v/>
      </c>
      <c r="H8" s="22">
        <f>IF(ISNUMBER(G8), G8-F8, "")</f>
        <v/>
      </c>
      <c r="I8" s="23">
        <f>IF(AND(ISNUMBER(G8), F8&gt;0), G8/F8, "")</f>
        <v/>
      </c>
    </row>
    <row r="9" ht="19" customHeight="1">
      <c r="B9" s="32" t="inlineStr">
        <is>
          <t>April</t>
        </is>
      </c>
      <c r="C9" s="33" t="n">
        <v>18000000</v>
      </c>
      <c r="D9" s="34">
        <f>D8+C9</f>
        <v/>
      </c>
      <c r="E9" s="33" t="n">
        <v>17900000</v>
      </c>
      <c r="F9" s="34">
        <f>IF(E9&gt;0, F8+E9, "")</f>
        <v/>
      </c>
      <c r="G9" s="34">
        <f>IF(E9&gt;0, G8+16000000, "")</f>
        <v/>
      </c>
      <c r="H9" s="22">
        <f>IF(ISNUMBER(G9), G9-F9, "")</f>
        <v/>
      </c>
      <c r="I9" s="23">
        <f>IF(AND(ISNUMBER(G9), F9&gt;0), G9/F9, "")</f>
        <v/>
      </c>
    </row>
    <row r="10" ht="19" customHeight="1">
      <c r="B10" s="32" t="inlineStr">
        <is>
          <t>Mai</t>
        </is>
      </c>
      <c r="C10" s="33" t="n">
        <v>16000000</v>
      </c>
      <c r="D10" s="34">
        <f>D9+C10</f>
        <v/>
      </c>
      <c r="E10" s="33" t="n">
        <v>15500000</v>
      </c>
      <c r="F10" s="34">
        <f>IF(E10&gt;0, F9+E10, "")</f>
        <v/>
      </c>
      <c r="G10" s="34">
        <f>IF(E10&gt;0, G9+14200000, "")</f>
        <v/>
      </c>
      <c r="H10" s="22">
        <f>IF(ISNUMBER(G10), G10-F10, "")</f>
        <v/>
      </c>
      <c r="I10" s="23">
        <f>IF(AND(ISNUMBER(G10), F10&gt;0), G10/F10, "")</f>
        <v/>
      </c>
    </row>
    <row r="11" ht="19" customHeight="1">
      <c r="B11" s="32" t="inlineStr">
        <is>
          <t>Juni</t>
        </is>
      </c>
      <c r="C11" s="33" t="n">
        <v>17000000</v>
      </c>
      <c r="D11" s="34">
        <f>D10+C11</f>
        <v/>
      </c>
      <c r="E11" s="33" t="n">
        <v>16800000</v>
      </c>
      <c r="F11" s="34">
        <f>IF(E11&gt;0, F10+E11, "")</f>
        <v/>
      </c>
      <c r="G11" s="34">
        <f>IF(E11&gt;0, G10+15100000, "")</f>
        <v/>
      </c>
      <c r="H11" s="22">
        <f>IF(ISNUMBER(G11), G11-F11, "")</f>
        <v/>
      </c>
      <c r="I11" s="23">
        <f>IF(AND(ISNUMBER(G11), F11&gt;0), G11/F11, "")</f>
        <v/>
      </c>
    </row>
    <row r="12" ht="19" customHeight="1">
      <c r="B12" s="32" t="inlineStr">
        <is>
          <t>Juli</t>
        </is>
      </c>
      <c r="C12" s="33" t="n">
        <v>14000000</v>
      </c>
      <c r="D12" s="34">
        <f>D11+C12</f>
        <v/>
      </c>
      <c r="E12" s="33" t="n">
        <v>11200000</v>
      </c>
      <c r="F12" s="34">
        <f>IF(E12&gt;0, F11+E12, "")</f>
        <v/>
      </c>
      <c r="G12" s="34">
        <f>IF(E12&gt;0, G11+9500000, "")</f>
        <v/>
      </c>
      <c r="H12" s="22">
        <f>IF(ISNUMBER(G12), G12-F12, "")</f>
        <v/>
      </c>
      <c r="I12" s="23">
        <f>IF(AND(ISNUMBER(G12), F12&gt;0), G12/F12, "")</f>
        <v/>
      </c>
    </row>
    <row r="13" ht="19" customHeight="1">
      <c r="B13" s="32" t="inlineStr">
        <is>
          <t>August</t>
        </is>
      </c>
      <c r="C13" s="33" t="n">
        <v>15000000</v>
      </c>
      <c r="D13" s="34">
        <f>D12+C13</f>
        <v/>
      </c>
      <c r="E13" s="33" t="n">
        <v>9600000</v>
      </c>
      <c r="F13" s="34">
        <f>IF(E13&gt;0, F12+E13, "")</f>
        <v/>
      </c>
      <c r="G13" s="34">
        <f>IF(E13&gt;0, G12+8500000, "")</f>
        <v/>
      </c>
      <c r="H13" s="22">
        <f>IF(ISNUMBER(G13), G13-F13, "")</f>
        <v/>
      </c>
      <c r="I13" s="23">
        <f>IF(AND(ISNUMBER(G13), F13&gt;0), G13/F13, "")</f>
        <v/>
      </c>
    </row>
    <row r="14" ht="19" customHeight="1">
      <c r="B14" s="32" t="inlineStr">
        <is>
          <t>September (P)</t>
        </is>
      </c>
      <c r="C14" s="33" t="n">
        <v>18000000</v>
      </c>
      <c r="D14" s="34">
        <f>D13+C14</f>
        <v/>
      </c>
      <c r="E14" s="33" t="inlineStr"/>
      <c r="F14" s="34">
        <f>IF(E14&gt;0, F13+E14, "")</f>
        <v/>
      </c>
      <c r="G14" s="34">
        <f>IF(E14&gt;0, G13+0, "")</f>
        <v/>
      </c>
      <c r="H14" s="22">
        <f>IF(ISNUMBER(G14), G14-F14, "")</f>
        <v/>
      </c>
      <c r="I14" s="23">
        <f>IF(AND(ISNUMBER(G14), F14&gt;0), G14/F14, "")</f>
        <v/>
      </c>
    </row>
    <row r="15" ht="19" customHeight="1">
      <c r="B15" s="32" t="inlineStr">
        <is>
          <t>Oktober (P)</t>
        </is>
      </c>
      <c r="C15" s="33" t="n">
        <v>20000000</v>
      </c>
      <c r="D15" s="34">
        <f>D14+C15</f>
        <v/>
      </c>
      <c r="E15" s="33" t="inlineStr"/>
      <c r="F15" s="34">
        <f>IF(E15&gt;0, F14+E15, "")</f>
        <v/>
      </c>
      <c r="G15" s="34">
        <f>IF(E15&gt;0, G14+0, "")</f>
        <v/>
      </c>
      <c r="H15" s="22">
        <f>IF(ISNUMBER(G15), G15-F15, "")</f>
        <v/>
      </c>
      <c r="I15" s="23">
        <f>IF(AND(ISNUMBER(G15), F15&gt;0), G15/F15, "")</f>
        <v/>
      </c>
    </row>
    <row r="16" ht="19" customHeight="1">
      <c r="B16" s="32" t="inlineStr">
        <is>
          <t>November (P)</t>
        </is>
      </c>
      <c r="C16" s="33" t="n">
        <v>19000000</v>
      </c>
      <c r="D16" s="34">
        <f>D15+C16</f>
        <v/>
      </c>
      <c r="E16" s="33" t="inlineStr"/>
      <c r="F16" s="34">
        <f>IF(E16&gt;0, F15+E16, "")</f>
        <v/>
      </c>
      <c r="G16" s="34">
        <f>IF(E16&gt;0, G15+0, "")</f>
        <v/>
      </c>
      <c r="H16" s="22">
        <f>IF(ISNUMBER(G16), G16-F16, "")</f>
        <v/>
      </c>
      <c r="I16" s="23">
        <f>IF(AND(ISNUMBER(G16), F16&gt;0), G16/F16, "")</f>
        <v/>
      </c>
    </row>
    <row r="17" ht="19" customHeight="1">
      <c r="B17" s="32" t="inlineStr">
        <is>
          <t>Desember (P)</t>
        </is>
      </c>
      <c r="C17" s="33" t="n">
        <v>13000000</v>
      </c>
      <c r="D17" s="34">
        <f>D16+C17</f>
        <v/>
      </c>
      <c r="E17" s="33" t="inlineStr"/>
      <c r="F17" s="34">
        <f>IF(E17&gt;0, F16+E17, "")</f>
        <v/>
      </c>
      <c r="G17" s="34">
        <f>IF(E17&gt;0, G16+0, "")</f>
        <v/>
      </c>
      <c r="H17" s="22">
        <f>IF(ISNUMBER(G17), G17-F17, "")</f>
        <v/>
      </c>
      <c r="I17" s="23">
        <f>IF(AND(ISNUMBER(G17), F17&gt;0), G17/F17, "")</f>
        <v/>
      </c>
    </row>
  </sheetData>
  <mergeCells count="2">
    <mergeCell ref="B3:I3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33" customWidth="1" min="3" max="3"/>
    <col width="21" customWidth="1" min="4" max="4"/>
    <col width="22" customWidth="1" min="5" max="5"/>
    <col width="22" customWidth="1" min="6" max="6"/>
    <col width="27" customWidth="1" min="7" max="7"/>
    <col width="20" customWidth="1" min="8" max="8"/>
    <col width="22" customWidth="1" min="9" max="9"/>
  </cols>
  <sheetData>
    <row r="1"/>
    <row r="2">
      <c r="B2" s="29" t="inlineStr">
        <is>
          <t>USIKKERHETSANALYSE &amp; RISK CONTINGENCY (P10 / P50 / P85)</t>
        </is>
      </c>
    </row>
    <row r="3">
      <c r="B3" s="13" t="inlineStr">
        <is>
          <t>Avsetninger til uforutsette utgifter og styringsrammer iht. KS-veileder for kommunale investeringer</t>
        </is>
      </c>
    </row>
    <row r="4"/>
    <row r="5" ht="24" customHeight="1">
      <c r="B5" s="35" t="inlineStr">
        <is>
          <t>Prosjektkode</t>
        </is>
      </c>
      <c r="C5" s="35" t="inlineStr">
        <is>
          <t>Prosjektnavn</t>
        </is>
      </c>
      <c r="D5" s="31" t="inlineStr">
        <is>
          <t>Basisestimat (P10)</t>
        </is>
      </c>
      <c r="E5" s="31" t="inlineStr">
        <is>
          <t>Styringsramme (P50)</t>
        </is>
      </c>
      <c r="F5" s="31" t="inlineStr">
        <is>
          <t>Kostnadsramme (P85)</t>
        </is>
      </c>
      <c r="G5" s="31" t="inlineStr">
        <is>
          <t>Avsatt Reserve (P85-P50)</t>
        </is>
      </c>
      <c r="H5" s="31" t="inlineStr">
        <is>
          <t>Brukt Reserve YTD</t>
        </is>
      </c>
      <c r="I5" s="31" t="inlineStr">
        <is>
          <t>Gjenstående Reserve</t>
        </is>
      </c>
    </row>
    <row r="6" ht="20" customHeight="1">
      <c r="B6" s="20" t="inlineStr">
        <is>
          <t>PROJ-101</t>
        </is>
      </c>
      <c r="C6" s="9" t="inlineStr">
        <is>
          <t>Vågsbygd Skole Utvidelse</t>
        </is>
      </c>
      <c r="D6" s="21" t="n">
        <v>160000000</v>
      </c>
      <c r="E6" s="21" t="n">
        <v>172000000</v>
      </c>
      <c r="F6" s="21" t="n">
        <v>185000000</v>
      </c>
      <c r="G6" s="34">
        <f>F6-E6</f>
        <v/>
      </c>
      <c r="H6" s="21" t="n">
        <v>8500000</v>
      </c>
      <c r="I6" s="22">
        <f>G6-H6</f>
        <v/>
      </c>
    </row>
    <row r="7" ht="20" customHeight="1">
      <c r="B7" s="20" t="inlineStr">
        <is>
          <t>PROJ-201</t>
        </is>
      </c>
      <c r="C7" s="9" t="inlineStr">
        <is>
          <t>Randesund Døgnbemannet Boenhet</t>
        </is>
      </c>
      <c r="D7" s="21" t="n">
        <v>210000000</v>
      </c>
      <c r="E7" s="21" t="n">
        <v>225000000</v>
      </c>
      <c r="F7" s="21" t="n">
        <v>240000000</v>
      </c>
      <c r="G7" s="34">
        <f>F7-E7</f>
        <v/>
      </c>
      <c r="H7" s="21" t="n">
        <v>12800000</v>
      </c>
      <c r="I7" s="22">
        <f>G7-H7</f>
        <v/>
      </c>
    </row>
    <row r="8" ht="20" customHeight="1">
      <c r="B8" s="20" t="inlineStr">
        <is>
          <t>PROJ-301</t>
        </is>
      </c>
      <c r="C8" s="9" t="inlineStr">
        <is>
          <t>VA-Hovedledning Selvkost</t>
        </is>
      </c>
      <c r="D8" s="21" t="n">
        <v>82000000</v>
      </c>
      <c r="E8" s="21" t="n">
        <v>87000000</v>
      </c>
      <c r="F8" s="21" t="n">
        <v>92000000</v>
      </c>
      <c r="G8" s="34">
        <f>F8-E8</f>
        <v/>
      </c>
      <c r="H8" s="21" t="n">
        <v>3100000</v>
      </c>
      <c r="I8" s="22">
        <f>G8-H8</f>
        <v/>
      </c>
    </row>
    <row r="9" ht="22" customHeight="1">
      <c r="B9" s="36" t="inlineStr">
        <is>
          <t>TOTAL</t>
        </is>
      </c>
      <c r="C9" s="36" t="inlineStr">
        <is>
          <t>Porteføljereserver</t>
        </is>
      </c>
      <c r="D9" s="25">
        <f>SUM(D6:D8)</f>
        <v/>
      </c>
      <c r="E9" s="25">
        <f>SUM(E6:E8)</f>
        <v/>
      </c>
      <c r="F9" s="25">
        <f>SUM(F6:F8)</f>
        <v/>
      </c>
      <c r="G9" s="25">
        <f>SUM(G6:G8)</f>
        <v/>
      </c>
      <c r="H9" s="25">
        <f>SUM(H6:H8)</f>
        <v/>
      </c>
      <c r="I9" s="25">
        <f>SUM(I6:I8)</f>
        <v/>
      </c>
    </row>
  </sheetData>
  <mergeCells count="2">
    <mergeCell ref="B3:H3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43" customWidth="1" min="3" max="3"/>
    <col width="12" customWidth="1" min="4" max="4"/>
    <col width="41" customWidth="1" min="5" max="5"/>
    <col width="12" customWidth="1" min="6" max="6"/>
    <col width="12" customWidth="1" min="7" max="7"/>
  </cols>
  <sheetData>
    <row r="1"/>
    <row r="2" ht="22" customHeight="1">
      <c r="B2" s="1" t="inlineStr">
        <is>
          <t>KRISTIANSAND KOMMUNE — KONTROLLUTVALGET &amp; BYSTYRET</t>
        </is>
      </c>
    </row>
    <row r="3" ht="32" customHeight="1">
      <c r="B3" s="37" t="inlineStr">
        <is>
          <t>Periodisk Tilsynsrapport: Capex-avvik og Usikkerhetsstyring 2026</t>
        </is>
      </c>
    </row>
    <row r="4"/>
    <row r="5" ht="21" customHeight="1">
      <c r="B5" s="38" t="inlineStr">
        <is>
          <t>Samlet Vedtatt Kostnadsramme (BAC):</t>
        </is>
      </c>
      <c r="C5" s="39" t="n"/>
      <c r="D5" s="39" t="n"/>
      <c r="E5" s="40">
        <f>'01_EVM_Executive_Dashboard'!D14</f>
        <v/>
      </c>
    </row>
    <row r="6" ht="21" customHeight="1">
      <c r="B6" s="38" t="inlineStr">
        <is>
          <t>Planlagt Akkumulert Fremdrift (PV):</t>
        </is>
      </c>
      <c r="C6" s="39" t="n"/>
      <c r="D6" s="39" t="n"/>
      <c r="E6" s="40">
        <f>'01_EVM_Executive_Dashboard'!E14</f>
        <v/>
      </c>
    </row>
    <row r="7" ht="21" customHeight="1">
      <c r="B7" s="38" t="inlineStr">
        <is>
          <t>Faktisk Påløpt Regnskapskostnad (AC):</t>
        </is>
      </c>
      <c r="C7" s="39" t="n"/>
      <c r="D7" s="39" t="n"/>
      <c r="E7" s="40">
        <f>'01_EVM_Executive_Dashboard'!F14</f>
        <v/>
      </c>
    </row>
    <row r="8" ht="21" customHeight="1">
      <c r="B8" s="38" t="inlineStr">
        <is>
          <t>Fysisk Opptjent Verdi (EV):</t>
        </is>
      </c>
      <c r="C8" s="39" t="n"/>
      <c r="D8" s="39" t="n"/>
      <c r="E8" s="40">
        <f>'01_EVM_Executive_Dashboard'!G14</f>
        <v/>
      </c>
    </row>
    <row r="9" ht="21" customHeight="1">
      <c r="B9" s="38" t="inlineStr">
        <is>
          <t>Samlet Kostnadsavvik (CV):</t>
        </is>
      </c>
      <c r="C9" s="39" t="n"/>
      <c r="D9" s="39" t="n"/>
      <c r="E9" s="40">
        <f>'01_EVM_Executive_Dashboard'!H14</f>
        <v/>
      </c>
    </row>
    <row r="10" ht="21" customHeight="1">
      <c r="B10" s="38" t="inlineStr">
        <is>
          <t>Porteføljens Kostnadsindeks (CPI):</t>
        </is>
      </c>
      <c r="C10" s="39" t="n"/>
      <c r="D10" s="39" t="n"/>
      <c r="E10" s="41">
        <f>'01_EVM_Executive_Dashboard'!I14</f>
        <v/>
      </c>
    </row>
    <row r="11" ht="21" customHeight="1">
      <c r="B11" s="38" t="inlineStr">
        <is>
          <t>Estimert Sluttkostnad ved Fullføring (EAC):</t>
        </is>
      </c>
      <c r="C11" s="39" t="n"/>
      <c r="D11" s="39" t="n"/>
      <c r="E11" s="40">
        <f>'01_EVM_Executive_Dashboard'!J14</f>
        <v/>
      </c>
    </row>
    <row r="12" ht="21" customHeight="1">
      <c r="B12" s="38" t="inlineStr">
        <is>
          <t>Netto Sluttoverskridelse mot Ramme (VAC):</t>
        </is>
      </c>
      <c r="C12" s="39" t="n"/>
      <c r="D12" s="39" t="n"/>
      <c r="E12" s="40">
        <f>'01_EVM_Executive_Dashboard'!K14</f>
        <v/>
      </c>
    </row>
    <row r="13"/>
    <row r="14"/>
    <row r="15">
      <c r="B15" s="27" t="inlineStr">
        <is>
          <t>Formell Attestasjon &amp; Sign-off (Stage-Gate Port 9):</t>
        </is>
      </c>
    </row>
    <row r="16" ht="20" customHeight="1">
      <c r="B16" s="42" t="inlineStr">
        <is>
          <t>Project Controller:</t>
        </is>
      </c>
      <c r="C16" s="43" t="inlineStr">
        <is>
          <t>Frank Ellingsen</t>
        </is>
      </c>
      <c r="E16" s="44" t="inlineStr">
        <is>
          <t>Signert elektronisk (BankID / SHA-256)</t>
        </is>
      </c>
    </row>
    <row r="17" ht="20" customHeight="1">
      <c r="B17" s="42" t="inlineStr">
        <is>
          <t>Kommunaldirektør Byutvikling:</t>
        </is>
      </c>
      <c r="C17" s="43" t="inlineStr">
        <is>
          <t>Godkjent for fremlegging i Formannskapet</t>
        </is>
      </c>
      <c r="E17" s="44" t="inlineStr">
        <is>
          <t>Dato: 14.10.2026</t>
        </is>
      </c>
    </row>
    <row r="18" ht="20" customHeight="1">
      <c r="B18" s="42" t="inlineStr">
        <is>
          <t>Kryptografisk Integritet:</t>
        </is>
      </c>
      <c r="C18" s="43" t="inlineStr">
        <is>
          <t>92fc763990efd6279c1d58bbe4892449...</t>
        </is>
      </c>
      <c r="E18" s="44" t="inlineStr">
        <is>
          <t>Forseglet i Golden Record DB</t>
        </is>
      </c>
    </row>
  </sheetData>
  <mergeCells count="10">
    <mergeCell ref="B3:G3"/>
    <mergeCell ref="B2:G2"/>
    <mergeCell ref="B10:D10"/>
    <mergeCell ref="B11:D11"/>
    <mergeCell ref="B5:D5"/>
    <mergeCell ref="B8:D8"/>
    <mergeCell ref="B9:D9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2026-10-14T15:45:19Z</dcterms:created>
  <dcterms:modified xmlns:dcterms="http://purl.org/dc/terms/" xmlns:xsi="http://www.w3.org/2001/XMLSchema-instance" xsi:type="dcterms:W3CDTF">2026-10-14T15:45:19Z</dcterms:modified>
</cp:coreProperties>
</file>