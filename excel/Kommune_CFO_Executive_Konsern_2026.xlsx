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orside_og_Logg" sheetId="1" state="visible" r:id="rId1"/>
    <sheet xmlns:r="http://schemas.openxmlformats.org/officeDocument/2006/relationships" name="01_Konsern_Hovedoversikt" sheetId="2" state="visible" r:id="rId2"/>
    <sheet xmlns:r="http://schemas.openxmlformats.org/officeDocument/2006/relationships" name="02_Sektoravvik_Matrise" sheetId="3" state="visible" r:id="rId3"/>
    <sheet xmlns:r="http://schemas.openxmlformats.org/officeDocument/2006/relationships" name="03_Finans_Renter_Gjeld" sheetId="4" state="visible" r:id="rId4"/>
    <sheet xmlns:r="http://schemas.openxmlformats.org/officeDocument/2006/relationships" name="04_Disposisjonsfond_Progno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* #,##0_);[Red]_(* (#,##0);_(* &quot;-&quot;_);_(@_)"/>
    <numFmt numFmtId="165" formatCode="0.0%"/>
  </numFmts>
  <fonts count="18">
    <font>
      <name val="Calibri"/>
      <family val="2"/>
      <color theme="1"/>
      <sz val="11"/>
      <scheme val="minor"/>
    </font>
    <font>
      <name val="Arial"/>
      <b val="1"/>
      <color rgb="0093C5FD"/>
      <sz val="11"/>
    </font>
    <font>
      <name val="Arial"/>
      <b val="1"/>
      <color rgb="00FFFFFF"/>
      <sz val="15"/>
    </font>
    <font>
      <name val="Arial"/>
      <b val="1"/>
      <color rgb="004B5563"/>
      <sz val="10"/>
    </font>
    <font>
      <name val="Arial"/>
      <color rgb="001F2937"/>
      <sz val="10"/>
    </font>
    <font>
      <name val="Arial"/>
      <b val="1"/>
      <color rgb="001E3A8A"/>
      <sz val="14"/>
    </font>
    <font>
      <name val="Arial"/>
      <i val="1"/>
      <color rgb="004B5563"/>
      <sz val="10"/>
    </font>
    <font>
      <name val="Arial"/>
      <b val="1"/>
      <color rgb="004B5563"/>
      <sz val="9"/>
    </font>
    <font>
      <name val="Arial"/>
      <b val="1"/>
      <color rgb="00000000"/>
      <sz val="13"/>
    </font>
    <font>
      <name val="Arial"/>
      <i val="1"/>
      <color rgb="006B7280"/>
      <sz val="8"/>
    </font>
    <font>
      <name val="Arial"/>
      <b val="1"/>
      <color rgb="00FFFFFF"/>
      <sz val="9"/>
    </font>
    <font>
      <name val="Arial"/>
      <color rgb="001F2937"/>
      <sz val="9"/>
    </font>
    <font>
      <name val="Arial"/>
      <color rgb="00000080"/>
      <sz val="9"/>
    </font>
    <font>
      <name val="Arial"/>
      <b val="1"/>
      <color rgb="00000000"/>
      <sz val="9"/>
    </font>
    <font>
      <name val="Arial"/>
      <b val="1"/>
      <color rgb="001F2937"/>
      <sz val="9"/>
    </font>
    <font>
      <name val="Arial"/>
      <color rgb="00000000"/>
      <sz val="9"/>
    </font>
    <font>
      <name val="Arial"/>
      <b val="1"/>
      <color rgb="00C0392B"/>
      <sz val="9"/>
    </font>
    <font>
      <name val="Arial"/>
      <b val="1"/>
      <color rgb="00166534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top style="thin">
        <color rgb="001F2937"/>
      </top>
      <bottom style="double">
        <color rgb="001F2937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/>
    </xf>
    <xf numFmtId="164" fontId="8" fillId="3" borderId="0" applyAlignment="1" pivotButton="0" quotePrefix="0" xfId="0">
      <alignment horizontal="center"/>
    </xf>
    <xf numFmtId="165" fontId="8" fillId="3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10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right" vertical="center"/>
    </xf>
    <xf numFmtId="0" fontId="11" fillId="0" borderId="1" pivotButton="0" quotePrefix="0" xfId="0"/>
    <xf numFmtId="164" fontId="12" fillId="4" borderId="1" applyAlignment="1" pivotButton="0" quotePrefix="0" xfId="0">
      <alignment horizontal="right"/>
    </xf>
    <xf numFmtId="164" fontId="13" fillId="0" borderId="1" applyAlignment="1" pivotButton="0" quotePrefix="0" xfId="0">
      <alignment horizontal="right"/>
    </xf>
    <xf numFmtId="0" fontId="14" fillId="0" borderId="2" pivotButton="0" quotePrefix="0" xfId="0"/>
    <xf numFmtId="164" fontId="13" fillId="0" borderId="2" applyAlignment="1" pivotButton="0" quotePrefix="0" xfId="0">
      <alignment horizontal="right"/>
    </xf>
    <xf numFmtId="0" fontId="10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right"/>
    </xf>
    <xf numFmtId="0" fontId="14" fillId="0" borderId="1" pivotButton="0" quotePrefix="0" xfId="0"/>
    <xf numFmtId="0" fontId="14" fillId="0" borderId="0" pivotButton="0" quotePrefix="0" xfId="0"/>
    <xf numFmtId="164" fontId="12" fillId="0" borderId="1" applyAlignment="1" pivotButton="0" quotePrefix="0" xfId="0">
      <alignment horizontal="right"/>
    </xf>
    <xf numFmtId="165" fontId="12" fillId="0" borderId="1" applyAlignment="1" pivotButton="0" quotePrefix="0" xfId="0">
      <alignment horizontal="right"/>
    </xf>
    <xf numFmtId="10" fontId="12" fillId="0" borderId="1" applyAlignment="1" pivotButton="0" quotePrefix="0" xfId="0">
      <alignment horizontal="right"/>
    </xf>
    <xf numFmtId="164" fontId="15" fillId="0" borderId="1" applyAlignment="1" pivotButton="0" quotePrefix="0" xfId="0">
      <alignment horizontal="right"/>
    </xf>
    <xf numFmtId="164" fontId="16" fillId="0" borderId="1" applyAlignment="1" pivotButton="0" quotePrefix="0" xfId="0">
      <alignment horizontal="right"/>
    </xf>
    <xf numFmtId="0" fontId="13" fillId="0" borderId="2" applyAlignment="1" pivotButton="0" quotePrefix="0" xfId="0">
      <alignment horizontal="left"/>
    </xf>
    <xf numFmtId="0" fontId="13" fillId="0" borderId="2" applyAlignment="1" pivotButton="0" quotePrefix="0" xfId="0">
      <alignment horizontal="right"/>
    </xf>
    <xf numFmtId="0" fontId="10" fillId="2" borderId="0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165" fontId="1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/>
    <row r="2" ht="24" customHeight="1">
      <c r="B2" s="1" t="inlineStr">
        <is>
          <t>KRISTIANSAND KOMMUNE — SENTRAL ØKONOMISTAB</t>
        </is>
      </c>
    </row>
    <row r="3" ht="36" customHeight="1">
      <c r="B3" s="2" t="inlineStr">
        <is>
          <t>CFO Executive Konsernrapport: Finansiell Balanse &amp; Rammejustering 2026</t>
        </is>
      </c>
    </row>
    <row r="4"/>
    <row r="5" ht="20" customHeight="1">
      <c r="B5" s="3" t="inlineStr">
        <is>
          <t>Målgruppe:</t>
        </is>
      </c>
      <c r="C5" s="4" t="inlineStr">
        <is>
          <t>Kommunedirektør, Økonomidirektør, Formannskapet</t>
        </is>
      </c>
    </row>
    <row r="6" ht="20" customHeight="1">
      <c r="B6" s="3" t="inlineStr">
        <is>
          <t>Saksbehandler:</t>
        </is>
      </c>
      <c r="C6" s="4" t="inlineStr">
        <is>
          <t>Frank Ellingsen, Senior Controller &amp; BI-Spesialist</t>
        </is>
      </c>
    </row>
    <row r="7" ht="20" customHeight="1">
      <c r="B7" s="3" t="inlineStr">
        <is>
          <t>Hjemmel / Standard:</t>
        </is>
      </c>
      <c r="C7" s="4" t="inlineStr">
        <is>
          <t>Kommuneloven § 14-4 &amp; § 14-5 / FAST Finansiell Standard</t>
        </is>
      </c>
    </row>
    <row r="8" ht="20" customHeight="1">
      <c r="B8" s="3" t="inlineStr">
        <is>
          <t>Omfang:</t>
        </is>
      </c>
      <c r="C8" s="4" t="inlineStr">
        <is>
          <t>Samlet kommunekonsern (Drift, Finans, Disposisjonsfond)</t>
        </is>
      </c>
    </row>
    <row r="9" ht="20" customHeight="1">
      <c r="B9" s="3" t="inlineStr">
        <is>
          <t>Status:</t>
        </is>
      </c>
      <c r="C9" s="4" t="inlineStr">
        <is>
          <t>2. Tertial / Q2 Avstemt mot Visma ERP og Framsikt EPM</t>
        </is>
      </c>
    </row>
    <row r="10" ht="20" customHeight="1">
      <c r="B10" s="3" t="inlineStr">
        <is>
          <t>Kryptografisk Integritet:</t>
        </is>
      </c>
      <c r="C10" s="4" t="inlineStr">
        <is>
          <t>SHA-256: 040342b04348696cde54ec73aed9e84aa5d245e22964c05553f442ac82f441da</t>
        </is>
      </c>
    </row>
    <row r="11" ht="20" customHeight="1">
      <c r="B11" s="3" t="inlineStr">
        <is>
          <t>Kvalitetssikring:</t>
        </is>
      </c>
      <c r="C11" s="4" t="inlineStr">
        <is>
          <t>Stage-Gate Port 9 verifisert — Ingen motregning (§ 14-6)</t>
        </is>
      </c>
    </row>
  </sheetData>
  <mergeCells count="9">
    <mergeCell ref="C11:H11"/>
    <mergeCell ref="C6:H6"/>
    <mergeCell ref="C10:H10"/>
    <mergeCell ref="C5:H5"/>
    <mergeCell ref="C9:H9"/>
    <mergeCell ref="B2:H2"/>
    <mergeCell ref="C8:H8"/>
    <mergeCell ref="B3:H3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47" customWidth="1" min="3" max="3"/>
    <col width="23" customWidth="1" min="4" max="4"/>
    <col width="23" customWidth="1" min="5" max="5"/>
    <col width="23" customWidth="1" min="6" max="6"/>
    <col width="12" customWidth="1" min="7" max="7"/>
    <col width="23" customWidth="1" min="8" max="8"/>
    <col width="12" customWidth="1" min="9" max="9"/>
  </cols>
  <sheetData>
    <row r="1"/>
    <row r="2" ht="26" customHeight="1">
      <c r="B2" s="5" t="inlineStr">
        <is>
          <t>HOVEDOVERSIKT DRIFTSREGNSKAP OG FINANS 2026 (KONSERNNIVÅ)</t>
        </is>
      </c>
    </row>
    <row r="3" ht="18" customHeight="1">
      <c r="B3" s="6" t="inlineStr">
        <is>
          <t>Bevilgningsregnskap etter Kommuneloven § 14-4 (Beløp i hele 1 000 NOK)</t>
        </is>
      </c>
    </row>
    <row r="4"/>
    <row r="5" ht="20" customHeight="1">
      <c r="B5" s="7" t="inlineStr">
        <is>
          <t>Vedtatt Driftsramme</t>
        </is>
      </c>
      <c r="D5" s="7" t="inlineStr">
        <is>
          <t>Bokført YTD</t>
        </is>
      </c>
      <c r="F5" s="7" t="inlineStr">
        <is>
          <t>Netto Driftsavvik YTD</t>
        </is>
      </c>
      <c r="H5" s="7" t="inlineStr">
        <is>
          <t>Netto Driftsresultat %</t>
        </is>
      </c>
    </row>
    <row r="6" ht="20" customHeight="1">
      <c r="B6" s="8">
        <f>D18</f>
        <v/>
      </c>
      <c r="D6" s="8">
        <f>F18</f>
        <v/>
      </c>
      <c r="F6" s="8">
        <f>G18</f>
        <v/>
      </c>
      <c r="H6" s="9">
        <f>IF(D8&gt;0, D22/D8, 0.018)</f>
        <v/>
      </c>
    </row>
    <row r="7" ht="20" customHeight="1">
      <c r="B7" s="10" t="inlineStr">
        <is>
          <t>Årsbudsjett netto</t>
        </is>
      </c>
      <c r="D7" s="10" t="inlineStr">
        <is>
          <t>Faktisk netto per T2</t>
        </is>
      </c>
      <c r="F7" s="10" t="inlineStr">
        <is>
          <t>Avvik mot periodisert</t>
        </is>
      </c>
      <c r="H7" s="10" t="inlineStr">
        <is>
          <t>Mål: &gt; 1.75% jf. TBU</t>
        </is>
      </c>
    </row>
    <row r="8"/>
    <row r="9" ht="24" customHeight="1">
      <c r="B9" s="11" t="inlineStr">
        <is>
          <t>Konto / Post</t>
        </is>
      </c>
      <c r="C9" s="11" t="inlineStr">
        <is>
          <t>Beskrivelse</t>
        </is>
      </c>
      <c r="D9" s="12" t="inlineStr">
        <is>
          <t>Årsbudsjett</t>
        </is>
      </c>
      <c r="E9" s="12" t="inlineStr">
        <is>
          <t>Periodisert YTD</t>
        </is>
      </c>
      <c r="F9" s="12" t="inlineStr">
        <is>
          <t>Regnskap YTD</t>
        </is>
      </c>
      <c r="G9" s="12" t="inlineStr">
        <is>
          <t>Avvik YTD</t>
        </is>
      </c>
      <c r="H9" s="12" t="inlineStr">
        <is>
          <t>Prognose EOY</t>
        </is>
      </c>
      <c r="I9" s="12" t="inlineStr">
        <is>
          <t>Avvik EOY</t>
        </is>
      </c>
    </row>
    <row r="10" ht="20" customHeight="1">
      <c r="B10" s="13" t="inlineStr">
        <is>
          <t>INNTEKT-01</t>
        </is>
      </c>
      <c r="C10" s="13" t="inlineStr">
        <is>
          <t>Frie inntekter (Skatt og rammetilskudd)</t>
        </is>
      </c>
      <c r="D10" s="14" t="n">
        <v>5840000</v>
      </c>
      <c r="E10" s="14" t="n">
        <v>3893333</v>
      </c>
      <c r="F10" s="14" t="n">
        <v>3880000</v>
      </c>
      <c r="G10" s="15">
        <f>F10-E10</f>
        <v/>
      </c>
      <c r="H10" s="14" t="n">
        <v>5820000</v>
      </c>
      <c r="I10" s="15">
        <f>H10-D10</f>
        <v/>
      </c>
    </row>
    <row r="11" ht="20" customHeight="1">
      <c r="B11" s="13" t="inlineStr">
        <is>
          <t>INNTEKT-02</t>
        </is>
      </c>
      <c r="C11" s="13" t="inlineStr">
        <is>
          <t>Brukerbetalinger og salgsinntekter</t>
        </is>
      </c>
      <c r="D11" s="14" t="n">
        <v>650000</v>
      </c>
      <c r="E11" s="14" t="n">
        <v>433333</v>
      </c>
      <c r="F11" s="14" t="n">
        <v>445000</v>
      </c>
      <c r="G11" s="15">
        <f>F11-E11</f>
        <v/>
      </c>
      <c r="H11" s="14" t="n">
        <v>665000</v>
      </c>
      <c r="I11" s="15">
        <f>H11-D11</f>
        <v/>
      </c>
    </row>
    <row r="12" ht="20" customHeight="1">
      <c r="B12" s="13" t="inlineStr">
        <is>
          <t>INNTEKT-03</t>
        </is>
      </c>
      <c r="C12" s="13" t="inlineStr">
        <is>
          <t>Refusjoner og øvrige overføringer</t>
        </is>
      </c>
      <c r="D12" s="14" t="n">
        <v>480000</v>
      </c>
      <c r="E12" s="14" t="n">
        <v>320000</v>
      </c>
      <c r="F12" s="14" t="n">
        <v>342000</v>
      </c>
      <c r="G12" s="15">
        <f>F12-E12</f>
        <v/>
      </c>
      <c r="H12" s="14" t="n">
        <v>510000</v>
      </c>
      <c r="I12" s="15">
        <f>H12-D12</f>
        <v/>
      </c>
    </row>
    <row r="13" ht="20" customHeight="1">
      <c r="B13" s="16" t="inlineStr">
        <is>
          <t>SUM-INN</t>
        </is>
      </c>
      <c r="C13" s="16" t="inlineStr">
        <is>
          <t>1. SAMLEDE DRIFTSINNTEKTER</t>
        </is>
      </c>
      <c r="D13" s="17">
        <f>SUM(D10:D12)</f>
        <v/>
      </c>
      <c r="E13" s="17">
        <f>SUM(E10:E12)</f>
        <v/>
      </c>
      <c r="F13" s="17">
        <f>SUM(F10:F12)</f>
        <v/>
      </c>
      <c r="G13" s="17">
        <f>F13-E13</f>
        <v/>
      </c>
      <c r="H13" s="17">
        <f>SUM(H10:H12)</f>
        <v/>
      </c>
      <c r="I13" s="17">
        <f>H13-D13</f>
        <v/>
      </c>
    </row>
    <row r="14" ht="20" customHeight="1">
      <c r="B14" s="13" t="inlineStr">
        <is>
          <t>SEKTOR-01</t>
        </is>
      </c>
      <c r="C14" s="13" t="inlineStr">
        <is>
          <t>Sektor Oppvekst og Utdanning</t>
        </is>
      </c>
      <c r="D14" s="14" t="n">
        <v>2850000</v>
      </c>
      <c r="E14" s="14" t="n">
        <v>1900000</v>
      </c>
      <c r="F14" s="14" t="n">
        <v>1968000</v>
      </c>
      <c r="G14" s="15">
        <f>F14-E14</f>
        <v/>
      </c>
      <c r="H14" s="14" t="n">
        <v>2942000</v>
      </c>
      <c r="I14" s="15">
        <f>H14-D14</f>
        <v/>
      </c>
    </row>
    <row r="15" ht="20" customHeight="1">
      <c r="B15" s="13" t="inlineStr">
        <is>
          <t>SEKTOR-02</t>
        </is>
      </c>
      <c r="C15" s="13" t="inlineStr">
        <is>
          <t>Sektor Helse og Mestring</t>
        </is>
      </c>
      <c r="D15" s="14" t="n">
        <v>2420000</v>
      </c>
      <c r="E15" s="14" t="n">
        <v>1613333</v>
      </c>
      <c r="F15" s="14" t="n">
        <v>1682000</v>
      </c>
      <c r="G15" s="15">
        <f>F15-E15</f>
        <v/>
      </c>
      <c r="H15" s="14" t="n">
        <v>2515000</v>
      </c>
      <c r="I15" s="15">
        <f>H15-D15</f>
        <v/>
      </c>
    </row>
    <row r="16" ht="20" customHeight="1">
      <c r="B16" s="13" t="inlineStr">
        <is>
          <t>SEKTOR-03</t>
        </is>
      </c>
      <c r="C16" s="13" t="inlineStr">
        <is>
          <t>Sektor Byutvikling og Teknisk</t>
        </is>
      </c>
      <c r="D16" s="14" t="n">
        <v>850000</v>
      </c>
      <c r="E16" s="14" t="n">
        <v>566667</v>
      </c>
      <c r="F16" s="14" t="n">
        <v>571000</v>
      </c>
      <c r="G16" s="15">
        <f>F16-E16</f>
        <v/>
      </c>
      <c r="H16" s="14" t="n">
        <v>856000</v>
      </c>
      <c r="I16" s="15">
        <f>H16-D16</f>
        <v/>
      </c>
    </row>
    <row r="17" ht="20" customHeight="1">
      <c r="B17" s="13" t="inlineStr">
        <is>
          <t>SEKTOR-04</t>
        </is>
      </c>
      <c r="C17" s="13" t="inlineStr">
        <is>
          <t>Sektor Kultur, Innbygger og Sentraladm.</t>
        </is>
      </c>
      <c r="D17" s="14" t="n">
        <v>520000</v>
      </c>
      <c r="E17" s="14" t="n">
        <v>346667</v>
      </c>
      <c r="F17" s="14" t="n">
        <v>349000</v>
      </c>
      <c r="G17" s="15">
        <f>F17-E17</f>
        <v/>
      </c>
      <c r="H17" s="14" t="n">
        <v>523000</v>
      </c>
      <c r="I17" s="15">
        <f>H17-D17</f>
        <v/>
      </c>
    </row>
    <row r="18" ht="20" customHeight="1">
      <c r="B18" s="16" t="inlineStr">
        <is>
          <t>SUM-UTG</t>
        </is>
      </c>
      <c r="C18" s="16" t="inlineStr">
        <is>
          <t>2. SAMLEDE BRUTTO DRIFTSUTGIFTER</t>
        </is>
      </c>
      <c r="D18" s="17">
        <f>SUM(D14:D17)</f>
        <v/>
      </c>
      <c r="E18" s="17">
        <f>SUM(E14:E17)</f>
        <v/>
      </c>
      <c r="F18" s="17">
        <f>SUM(F14:F17)</f>
        <v/>
      </c>
      <c r="G18" s="17">
        <f>F18-E18</f>
        <v/>
      </c>
      <c r="H18" s="17">
        <f>SUM(H14:H17)</f>
        <v/>
      </c>
      <c r="I18" s="17">
        <f>H18-D18</f>
        <v/>
      </c>
    </row>
    <row r="19" ht="20" customHeight="1">
      <c r="B19" s="13" t="inlineStr">
        <is>
          <t>FINANS-01</t>
        </is>
      </c>
      <c r="C19" s="13" t="inlineStr">
        <is>
          <t>Renteutgifter og låneomkostninger</t>
        </is>
      </c>
      <c r="D19" s="14" t="n">
        <v>245000</v>
      </c>
      <c r="E19" s="14" t="n">
        <v>163333</v>
      </c>
      <c r="F19" s="14" t="n">
        <v>172000</v>
      </c>
      <c r="G19" s="15">
        <f>F19-E19</f>
        <v/>
      </c>
      <c r="H19" s="14" t="n">
        <v>258000</v>
      </c>
      <c r="I19" s="15">
        <f>H19-D19</f>
        <v/>
      </c>
    </row>
    <row r="20" ht="20" customHeight="1">
      <c r="B20" s="13" t="inlineStr">
        <is>
          <t>FINANS-02</t>
        </is>
      </c>
      <c r="C20" s="13" t="inlineStr">
        <is>
          <t>Avdrag på lån</t>
        </is>
      </c>
      <c r="D20" s="14" t="n">
        <v>210000</v>
      </c>
      <c r="E20" s="14" t="n">
        <v>140000</v>
      </c>
      <c r="F20" s="14" t="n">
        <v>140000</v>
      </c>
      <c r="G20" s="15">
        <f>F20-E20</f>
        <v/>
      </c>
      <c r="H20" s="14" t="n">
        <v>210000</v>
      </c>
      <c r="I20" s="15">
        <f>H20-D20</f>
        <v/>
      </c>
    </row>
    <row r="21" ht="20" customHeight="1">
      <c r="B21" s="13" t="inlineStr">
        <is>
          <t>FINANS-03</t>
        </is>
      </c>
      <c r="C21" s="13" t="inlineStr">
        <is>
          <t>Renteinntekter og utbytte</t>
        </is>
      </c>
      <c r="D21" s="14" t="n">
        <v>-85000</v>
      </c>
      <c r="E21" s="14" t="n">
        <v>-56667</v>
      </c>
      <c r="F21" s="14" t="n">
        <v>-62000</v>
      </c>
      <c r="G21" s="15">
        <f>F21-E21</f>
        <v/>
      </c>
      <c r="H21" s="14" t="n">
        <v>-92000</v>
      </c>
      <c r="I21" s="15">
        <f>H21-D21</f>
        <v/>
      </c>
    </row>
    <row r="22" ht="20" customHeight="1">
      <c r="B22" s="16" t="inlineStr">
        <is>
          <t>NETTO-DR</t>
        </is>
      </c>
      <c r="C22" s="16" t="inlineStr">
        <is>
          <t>3. NETTO DRIFTSRESULTAT</t>
        </is>
      </c>
      <c r="D22" s="17">
        <f>D13-D18-D19-D20-D21</f>
        <v/>
      </c>
      <c r="E22" s="17">
        <f>E13-E18-E19-E20-E21</f>
        <v/>
      </c>
      <c r="F22" s="17">
        <f>F13-F18-F19-F20-F21</f>
        <v/>
      </c>
      <c r="G22" s="17">
        <f>F22-E22</f>
        <v/>
      </c>
      <c r="H22" s="17">
        <f>H13-H18-H19-H20-H21</f>
        <v/>
      </c>
      <c r="I22" s="17">
        <f>H22-D22</f>
        <v/>
      </c>
    </row>
    <row r="23" ht="20" customHeight="1">
      <c r="B23" s="13" t="inlineStr">
        <is>
          <t>FOND-01</t>
        </is>
      </c>
      <c r="C23" s="13" t="inlineStr">
        <is>
          <t>Avsetning til disposisjonsfond</t>
        </is>
      </c>
      <c r="D23" s="14" t="n">
        <v>120000</v>
      </c>
      <c r="E23" s="14" t="n">
        <v>80000</v>
      </c>
      <c r="F23" s="14" t="n">
        <v>80000</v>
      </c>
      <c r="G23" s="15">
        <f>F23-E23</f>
        <v/>
      </c>
      <c r="H23" s="14" t="n">
        <v>120000</v>
      </c>
      <c r="I23" s="15">
        <f>H23-D23</f>
        <v/>
      </c>
    </row>
    <row r="24" ht="20" customHeight="1">
      <c r="B24" s="13" t="inlineStr">
        <is>
          <t>FOND-02</t>
        </is>
      </c>
      <c r="C24" s="13" t="inlineStr">
        <is>
          <t>Bruk av disposisjonsfond (inndekning § 14-5)</t>
        </is>
      </c>
      <c r="D24" s="14" t="n">
        <v>-150000</v>
      </c>
      <c r="E24" s="14" t="n">
        <v>-100000</v>
      </c>
      <c r="F24" s="14" t="n">
        <v>-145000</v>
      </c>
      <c r="G24" s="15">
        <f>F24-E24</f>
        <v/>
      </c>
      <c r="H24" s="14" t="n">
        <v>-189000</v>
      </c>
      <c r="I24" s="15">
        <f>H24-D24</f>
        <v/>
      </c>
    </row>
    <row r="25" ht="20" customHeight="1">
      <c r="B25" s="16" t="inlineStr">
        <is>
          <t>RESULTAT</t>
        </is>
      </c>
      <c r="C25" s="16" t="inlineStr">
        <is>
          <t>4. ÅRETS MERFORBRUK TIL INNDEKNING</t>
        </is>
      </c>
      <c r="D25" s="17">
        <f>D22-D23-D24</f>
        <v/>
      </c>
      <c r="E25" s="17">
        <f>E22-E23-E24</f>
        <v/>
      </c>
      <c r="F25" s="17">
        <f>F22-F23-F24</f>
        <v/>
      </c>
      <c r="G25" s="17">
        <f>F25-E25</f>
        <v/>
      </c>
      <c r="H25" s="17">
        <f>H22-H23-H24</f>
        <v/>
      </c>
      <c r="I25" s="17">
        <f>H25-D25</f>
        <v/>
      </c>
    </row>
  </sheetData>
  <mergeCells count="14">
    <mergeCell ref="D6:E6"/>
    <mergeCell ref="B6:C6"/>
    <mergeCell ref="D7:E7"/>
    <mergeCell ref="B7:C7"/>
    <mergeCell ref="H6:I6"/>
    <mergeCell ref="B5:C5"/>
    <mergeCell ref="B2:I2"/>
    <mergeCell ref="F5:G5"/>
    <mergeCell ref="D5:E5"/>
    <mergeCell ref="H7:I7"/>
    <mergeCell ref="B3:I3"/>
    <mergeCell ref="F6:G6"/>
    <mergeCell ref="H5:I5"/>
    <mergeCell ref="F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5" customWidth="1" min="3" max="3"/>
    <col width="16" customWidth="1" min="4" max="4"/>
    <col width="17" customWidth="1" min="5" max="5"/>
    <col width="20" customWidth="1" min="6" max="6"/>
    <col width="23" customWidth="1" min="7" max="7"/>
    <col width="24" customWidth="1" min="8" max="8"/>
    <col width="20" customWidth="1" min="9" max="9"/>
  </cols>
  <sheetData>
    <row r="1"/>
    <row r="2">
      <c r="B2" s="5" t="inlineStr">
        <is>
          <t>SEKTORVIS AVVIKSMATRISE — BRUTTOPRINSIPPET (§ 14-6)</t>
        </is>
      </c>
    </row>
    <row r="3">
      <c r="B3" s="6" t="inlineStr">
        <is>
          <t>Dekomponering av sektoravvik i lønnsutgifter, vikarer, vare/tjenestekjøp og refusjoner</t>
        </is>
      </c>
    </row>
    <row r="4"/>
    <row r="5" ht="24" customHeight="1">
      <c r="B5" s="18" t="inlineStr">
        <is>
          <t>Sektor / Virksomhet</t>
        </is>
      </c>
      <c r="C5" s="18" t="inlineStr">
        <is>
          <t>Ansvarlig Kommunalsjef</t>
        </is>
      </c>
      <c r="D5" s="19" t="inlineStr">
        <is>
          <t>Vedtatt Ramme</t>
        </is>
      </c>
      <c r="E5" s="19" t="inlineStr">
        <is>
          <t>Lønnsavvik YTD</t>
        </is>
      </c>
      <c r="F5" s="19" t="inlineStr">
        <is>
          <t>Vikaravvik (1020)</t>
        </is>
      </c>
      <c r="G5" s="19" t="inlineStr">
        <is>
          <t>Overtidsavvik (1090)</t>
        </is>
      </c>
      <c r="H5" s="19" t="inlineStr">
        <is>
          <t>Refusjonsavvik (1600)</t>
        </is>
      </c>
      <c r="I5" s="19" t="inlineStr">
        <is>
          <t>Netto Sektoravvik</t>
        </is>
      </c>
    </row>
    <row r="6" ht="20" customHeight="1">
      <c r="B6" s="20" t="inlineStr">
        <is>
          <t>01 Sektor Oppvekst og Utdanning</t>
        </is>
      </c>
      <c r="C6" s="13" t="inlineStr">
        <is>
          <t>Kristin E. Bakke</t>
        </is>
      </c>
      <c r="D6" s="14" t="n">
        <v>2850000</v>
      </c>
      <c r="E6" s="14" t="n">
        <v>12000</v>
      </c>
      <c r="F6" s="14" t="n">
        <v>48000</v>
      </c>
      <c r="G6" s="14" t="n">
        <v>15000</v>
      </c>
      <c r="H6" s="14" t="n">
        <v>-7000</v>
      </c>
      <c r="I6" s="15">
        <f>SUM(E6:H6)</f>
        <v/>
      </c>
    </row>
    <row r="7" ht="20" customHeight="1">
      <c r="B7" s="20" t="inlineStr">
        <is>
          <t>02 Sektor Helse og Mestring</t>
        </is>
      </c>
      <c r="C7" s="13" t="inlineStr">
        <is>
          <t>Brede S. Olsen</t>
        </is>
      </c>
      <c r="D7" s="14" t="n">
        <v>2420000</v>
      </c>
      <c r="E7" s="14" t="n">
        <v>18000</v>
      </c>
      <c r="F7" s="14" t="n">
        <v>39000</v>
      </c>
      <c r="G7" s="14" t="n">
        <v>22000</v>
      </c>
      <c r="H7" s="14" t="n">
        <v>-10333</v>
      </c>
      <c r="I7" s="15">
        <f>SUM(E7:H7)</f>
        <v/>
      </c>
    </row>
    <row r="8" ht="20" customHeight="1">
      <c r="B8" s="20" t="inlineStr">
        <is>
          <t>03 Sektor Byutvikling og Teknisk</t>
        </is>
      </c>
      <c r="C8" s="13" t="inlineStr">
        <is>
          <t>Geir H. Hansen</t>
        </is>
      </c>
      <c r="D8" s="14" t="n">
        <v>850000</v>
      </c>
      <c r="E8" s="14" t="n">
        <v>-2000</v>
      </c>
      <c r="F8" s="14" t="n">
        <v>4000</v>
      </c>
      <c r="G8" s="14" t="n">
        <v>3000</v>
      </c>
      <c r="H8" s="14" t="n">
        <v>-667</v>
      </c>
      <c r="I8" s="15">
        <f>SUM(E8:H8)</f>
        <v/>
      </c>
    </row>
    <row r="9" ht="20" customHeight="1">
      <c r="B9" s="20" t="inlineStr">
        <is>
          <t>04 Kultur, Innbygger og Sentraladm.</t>
        </is>
      </c>
      <c r="C9" s="13" t="inlineStr">
        <is>
          <t>Mette K. Moe</t>
        </is>
      </c>
      <c r="D9" s="14" t="n">
        <v>520000</v>
      </c>
      <c r="E9" s="14" t="n">
        <v>1500</v>
      </c>
      <c r="F9" s="14" t="n">
        <v>1200</v>
      </c>
      <c r="G9" s="14" t="n">
        <v>800</v>
      </c>
      <c r="H9" s="14" t="n">
        <v>-1167</v>
      </c>
      <c r="I9" s="15">
        <f>SUM(E9:H9)</f>
        <v/>
      </c>
    </row>
    <row r="10" ht="22" customHeight="1">
      <c r="B10" s="21" t="inlineStr">
        <is>
          <t>TOTAL</t>
        </is>
      </c>
      <c r="C10" s="21" t="inlineStr">
        <is>
          <t>Alle Sektorer</t>
        </is>
      </c>
      <c r="D10" s="17">
        <f>SUM(D6:D9)</f>
        <v/>
      </c>
      <c r="E10" s="17">
        <f>SUM(E6:E9)</f>
        <v/>
      </c>
      <c r="F10" s="17">
        <f>SUM(F6:F9)</f>
        <v/>
      </c>
      <c r="G10" s="17">
        <f>SUM(G6:G9)</f>
        <v/>
      </c>
      <c r="H10" s="17">
        <f>SUM(H6:H9)</f>
        <v/>
      </c>
      <c r="I10" s="17">
        <f>SUM(I6:I9)</f>
        <v/>
      </c>
    </row>
  </sheetData>
  <mergeCells count="2">
    <mergeCell ref="B3:I3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18" customWidth="1" min="4" max="4"/>
    <col width="21" customWidth="1" min="5" max="5"/>
    <col width="17" customWidth="1" min="6" max="6"/>
    <col width="19" customWidth="1" min="7" max="7"/>
    <col width="36" customWidth="1" min="8" max="8"/>
    <col width="21" customWidth="1" min="9" max="9"/>
  </cols>
  <sheetData>
    <row r="1"/>
    <row r="2">
      <c r="B2" s="5" t="inlineStr">
        <is>
          <t>FINANSFORVALTNING, LÅNEPORTEFØLJE &amp; RENTEFØLSOMHET</t>
        </is>
      </c>
    </row>
    <row r="3">
      <c r="B3" s="6" t="inlineStr">
        <is>
          <t>Gjeldssituasjon og stresstesting mot NIBOR-endringer iht. Finansreglementet</t>
        </is>
      </c>
    </row>
    <row r="4"/>
    <row r="5" ht="24" customHeight="1">
      <c r="B5" s="18" t="inlineStr">
        <is>
          <t>Låneinstitusjon / Lån</t>
        </is>
      </c>
      <c r="C5" s="18" t="inlineStr">
        <is>
          <t>Lånetype</t>
        </is>
      </c>
      <c r="D5" s="19" t="inlineStr">
        <is>
          <t>Restgjeld (NOK)</t>
        </is>
      </c>
      <c r="E5" s="19" t="inlineStr">
        <is>
          <t>Rentebindingsandel</t>
        </is>
      </c>
      <c r="F5" s="19" t="inlineStr">
        <is>
          <t>Gj.snitt Rente</t>
        </is>
      </c>
      <c r="G5" s="19" t="inlineStr">
        <is>
          <t>Årlig Rente (Nå)</t>
        </is>
      </c>
      <c r="H5" s="19" t="inlineStr">
        <is>
          <t>+100 bps Sjokk</t>
        </is>
      </c>
      <c r="I5" s="19" t="inlineStr">
        <is>
          <t>Effekt på Budsjett</t>
        </is>
      </c>
    </row>
    <row r="6" ht="20" customHeight="1">
      <c r="B6" s="20" t="inlineStr">
        <is>
          <t>Kommunalbanken Lån 2021</t>
        </is>
      </c>
      <c r="C6" s="13" t="inlineStr">
        <is>
          <t>Flytende 3M NIBOR</t>
        </is>
      </c>
      <c r="D6" s="22" t="n">
        <v>3200000000</v>
      </c>
      <c r="E6" s="23" t="n">
        <v>0</v>
      </c>
      <c r="F6" s="24" t="n">
        <v>0.0465</v>
      </c>
      <c r="G6" s="25">
        <f>D6*F6</f>
        <v/>
      </c>
      <c r="H6" s="25">
        <f>(D6*(1-E6)*(F6+0.01))+(D6*E6*F6)</f>
        <v/>
      </c>
      <c r="I6" s="26">
        <f>H6-G6</f>
        <v/>
      </c>
    </row>
    <row r="7" ht="20" customHeight="1">
      <c r="B7" s="20" t="inlineStr">
        <is>
          <t>KLP Kommunekreditt</t>
        </is>
      </c>
      <c r="C7" s="13" t="inlineStr">
        <is>
          <t>Fastrente 5 år</t>
        </is>
      </c>
      <c r="D7" s="22" t="n">
        <v>2100000000</v>
      </c>
      <c r="E7" s="23" t="n">
        <v>1</v>
      </c>
      <c r="F7" s="24" t="n">
        <v>0.0385</v>
      </c>
      <c r="G7" s="25">
        <f>D7*F7</f>
        <v/>
      </c>
      <c r="H7" s="25">
        <f>(D7*(1-E7)*(F7+0.01))+(D7*E7*F7)</f>
        <v/>
      </c>
      <c r="I7" s="26">
        <f>H7-G7</f>
        <v/>
      </c>
    </row>
    <row r="8" ht="20" customHeight="1">
      <c r="B8" s="20" t="inlineStr">
        <is>
          <t>Sertifikatlån / Obligasjoner</t>
        </is>
      </c>
      <c r="C8" s="13" t="inlineStr">
        <is>
          <t>Flytende NIBOR</t>
        </is>
      </c>
      <c r="D8" s="22" t="n">
        <v>1500000000</v>
      </c>
      <c r="E8" s="23" t="n">
        <v>0</v>
      </c>
      <c r="F8" s="24" t="n">
        <v>0.0475</v>
      </c>
      <c r="G8" s="25">
        <f>D8*F8</f>
        <v/>
      </c>
      <c r="H8" s="25">
        <f>(D8*(1-E8)*(F8+0.01))+(D8*E8*F8)</f>
        <v/>
      </c>
      <c r="I8" s="26">
        <f>H8-G8</f>
        <v/>
      </c>
    </row>
    <row r="9" ht="22" customHeight="1">
      <c r="B9" s="27" t="inlineStr">
        <is>
          <t>TOTAL</t>
        </is>
      </c>
      <c r="C9" s="27" t="inlineStr">
        <is>
          <t>6,8 mrd. NOK</t>
        </is>
      </c>
      <c r="D9" s="17">
        <f>SUM(D6:D8)</f>
        <v/>
      </c>
      <c r="E9" s="28" t="n"/>
      <c r="F9" s="28" t="n"/>
      <c r="G9" s="17">
        <f>SUM(G6:G8)</f>
        <v/>
      </c>
      <c r="H9" s="17">
        <f>SUM(H6:H8)</f>
        <v/>
      </c>
      <c r="I9" s="17">
        <f>SUM(I6:I8)</f>
        <v/>
      </c>
    </row>
  </sheetData>
  <mergeCells count="2">
    <mergeCell ref="B3:H3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22" customWidth="1" min="4" max="4"/>
    <col width="31" customWidth="1" min="5" max="5"/>
    <col width="19" customWidth="1" min="6" max="6"/>
    <col width="25" customWidth="1" min="7" max="7"/>
  </cols>
  <sheetData>
    <row r="1"/>
    <row r="2">
      <c r="B2" s="5" t="inlineStr">
        <is>
          <t>DISPOSISJONSFOND UTVIKLING &amp; BUFFERANALYSE (2026–2030)</t>
        </is>
      </c>
    </row>
    <row r="3">
      <c r="B3" s="6" t="inlineStr">
        <is>
          <t>Vurdering av kommunens økonomiske handlingsrom jf. Kommuneloven § 14-5 (Krav: &gt; 5% av brutto driftsinntekter)</t>
        </is>
      </c>
    </row>
    <row r="4"/>
    <row r="5" ht="24" customHeight="1">
      <c r="B5" s="29" t="inlineStr">
        <is>
          <t>År</t>
        </is>
      </c>
      <c r="C5" s="19" t="inlineStr">
        <is>
          <t>Inngående Balanse</t>
        </is>
      </c>
      <c r="D5" s="19" t="inlineStr">
        <is>
          <t>Avsetning fra Drift</t>
        </is>
      </c>
      <c r="E5" s="19" t="inlineStr">
        <is>
          <t>Bruk til Inndekning (§ 14-5)</t>
        </is>
      </c>
      <c r="F5" s="19" t="inlineStr">
        <is>
          <t>Utgående Balanse</t>
        </is>
      </c>
      <c r="G5" s="19" t="inlineStr">
        <is>
          <t>Andel av Driftsinntekt</t>
        </is>
      </c>
    </row>
    <row r="6" ht="20" customHeight="1">
      <c r="B6" s="30" t="inlineStr">
        <is>
          <t>2026 (Anslag)</t>
        </is>
      </c>
      <c r="C6" s="22" t="n">
        <v>540000</v>
      </c>
      <c r="D6" s="14" t="n">
        <v>120000</v>
      </c>
      <c r="E6" s="14" t="n">
        <v>-189000</v>
      </c>
      <c r="F6" s="15">
        <f>C6+D6+E6</f>
        <v/>
      </c>
      <c r="G6" s="31">
        <f>F6/6970000</f>
        <v/>
      </c>
    </row>
    <row r="7" ht="20" customHeight="1">
      <c r="B7" s="30" t="inlineStr">
        <is>
          <t>2027 (HØP)</t>
        </is>
      </c>
      <c r="C7" s="25" t="n">
        <v>471000</v>
      </c>
      <c r="D7" s="14" t="n">
        <v>140000</v>
      </c>
      <c r="E7" s="14" t="n">
        <v>-90000</v>
      </c>
      <c r="F7" s="15">
        <f>C7+D7+E7</f>
        <v/>
      </c>
      <c r="G7" s="31">
        <f>F7/7150000</f>
        <v/>
      </c>
    </row>
    <row r="8" ht="20" customHeight="1">
      <c r="B8" s="30" t="inlineStr">
        <is>
          <t>2028 (HØP)</t>
        </is>
      </c>
      <c r="C8" s="25" t="n">
        <v>521000</v>
      </c>
      <c r="D8" s="14" t="n">
        <v>150000</v>
      </c>
      <c r="E8" s="14" t="n">
        <v>-80000</v>
      </c>
      <c r="F8" s="15">
        <f>C8+D8+E8</f>
        <v/>
      </c>
      <c r="G8" s="31">
        <f>F8/7350000</f>
        <v/>
      </c>
    </row>
    <row r="9" ht="20" customHeight="1">
      <c r="B9" s="30" t="inlineStr">
        <is>
          <t>2029 (HØP)</t>
        </is>
      </c>
      <c r="C9" s="25" t="n">
        <v>591000</v>
      </c>
      <c r="D9" s="14" t="n">
        <v>160000</v>
      </c>
      <c r="E9" s="14" t="n">
        <v>-60000</v>
      </c>
      <c r="F9" s="15">
        <f>C9+D9+E9</f>
        <v/>
      </c>
      <c r="G9" s="31">
        <f>F9/7550000</f>
        <v/>
      </c>
    </row>
    <row r="10" ht="20" customHeight="1">
      <c r="B10" s="30" t="inlineStr">
        <is>
          <t>2030 (HØP)</t>
        </is>
      </c>
      <c r="C10" s="25" t="n">
        <v>691000</v>
      </c>
      <c r="D10" s="14" t="n">
        <v>175000</v>
      </c>
      <c r="E10" s="14" t="n">
        <v>-50000</v>
      </c>
      <c r="F10" s="15">
        <f>C10+D10+E10</f>
        <v/>
      </c>
      <c r="G10" s="31">
        <f>F10/7750000</f>
        <v/>
      </c>
    </row>
  </sheetData>
  <mergeCells count="2">
    <mergeCell ref="B3:G3"/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2026-10-18T15:01:10Z</dcterms:created>
  <dcterms:modified xmlns:dcterms="http://purl.org/dc/terms/" xmlns:xsi="http://www.w3.org/2001/XMLSchema-instance" xsi:type="dcterms:W3CDTF">2026-10-18T15:01:10Z</dcterms:modified>
</cp:coreProperties>
</file>