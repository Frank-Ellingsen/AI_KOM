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iksrapport 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;@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color rgb="004B5563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37" customWidth="1" min="2" max="2"/>
    <col width="22" customWidth="1" min="3" max="3"/>
    <col width="22" customWidth="1" min="4" max="4"/>
    <col width="19" customWidth="1" min="5" max="5"/>
    <col width="12" customWidth="1" min="6" max="6"/>
    <col width="25" customWidth="1" min="7" max="7"/>
    <col width="21" customWidth="1" min="8" max="8"/>
    <col width="23" customWidth="1" min="9" max="9"/>
  </cols>
  <sheetData>
    <row r="1">
      <c r="A1" s="1" t="inlineStr">
        <is>
          <t>KRISTIANSAND KOMMUNE — MÅNEDLIG AVVIKSRAPPORT &amp; TILTPLAN</t>
        </is>
      </c>
    </row>
    <row r="2">
      <c r="A2" s="2" t="inlineStr">
        <is>
          <t>Sektor: Oppvekst | Enhet: 202 Grunnskole | Periode: T2 2026 | Dagsdato: 14.10.2026</t>
        </is>
      </c>
    </row>
    <row r="3"/>
    <row r="4"/>
    <row r="5">
      <c r="A5" s="3" t="inlineStr">
        <is>
          <t>Art / Konto</t>
        </is>
      </c>
      <c r="B5" s="3" t="inlineStr">
        <is>
          <t>Beskrivelse</t>
        </is>
      </c>
      <c r="C5" s="4" t="inlineStr">
        <is>
          <t>Budsjett YTD (NOK)</t>
        </is>
      </c>
      <c r="D5" s="4" t="inlineStr">
        <is>
          <t>Regnskap YTD (NOK)</t>
        </is>
      </c>
      <c r="E5" s="4" t="inlineStr">
        <is>
          <t>Avvik YTD (NOK)</t>
        </is>
      </c>
      <c r="F5" s="4" t="inlineStr">
        <is>
          <t>Avvik %</t>
        </is>
      </c>
      <c r="G5" s="4" t="inlineStr">
        <is>
          <t>EOY Prognose Baseline</t>
        </is>
      </c>
      <c r="H5" s="4" t="inlineStr">
        <is>
          <t>Tiltakseffekt EOY</t>
        </is>
      </c>
      <c r="I5" s="4" t="inlineStr">
        <is>
          <t>EOY Justert Balanse</t>
        </is>
      </c>
    </row>
    <row r="6">
      <c r="A6" s="5" t="inlineStr">
        <is>
          <t>1010</t>
        </is>
      </c>
      <c r="B6" s="6" t="inlineStr">
        <is>
          <t>Fast lønn undervisningsstillinger</t>
        </is>
      </c>
      <c r="C6" s="7" t="n">
        <v>45000000</v>
      </c>
      <c r="D6" s="7" t="n">
        <v>44850000</v>
      </c>
      <c r="E6" s="7">
        <f>D6-C6</f>
        <v/>
      </c>
      <c r="F6" s="8">
        <f>E6/C6</f>
        <v/>
      </c>
      <c r="G6" s="7" t="n">
        <v>67500000</v>
      </c>
      <c r="H6" s="7" t="n">
        <v>0</v>
      </c>
      <c r="I6" s="7">
        <f>G6+H6</f>
        <v/>
      </c>
    </row>
    <row r="7">
      <c r="A7" s="5" t="inlineStr">
        <is>
          <t>1020</t>
        </is>
      </c>
      <c r="B7" s="6" t="inlineStr">
        <is>
          <t>Vikarutgifter / Korttidsfravær</t>
        </is>
      </c>
      <c r="C7" s="7" t="n">
        <v>3200000</v>
      </c>
      <c r="D7" s="7" t="n">
        <v>6400000</v>
      </c>
      <c r="E7" s="7">
        <f>D7-C7</f>
        <v/>
      </c>
      <c r="F7" s="8">
        <f>E7/C7</f>
        <v/>
      </c>
      <c r="G7" s="7" t="n">
        <v>9600000</v>
      </c>
      <c r="H7" s="7" t="n">
        <v>-1400000</v>
      </c>
      <c r="I7" s="7">
        <f>G7+H7</f>
        <v/>
      </c>
    </row>
    <row r="8">
      <c r="A8" s="5" t="inlineStr">
        <is>
          <t>1090</t>
        </is>
      </c>
      <c r="B8" s="6" t="inlineStr">
        <is>
          <t>Overtid og ekstrahjelp</t>
        </is>
      </c>
      <c r="C8" s="7" t="n">
        <v>800000</v>
      </c>
      <c r="D8" s="7" t="n">
        <v>1200000</v>
      </c>
      <c r="E8" s="7">
        <f>D8-C8</f>
        <v/>
      </c>
      <c r="F8" s="8">
        <f>E8/C8</f>
        <v/>
      </c>
      <c r="G8" s="7" t="n">
        <v>1800000</v>
      </c>
      <c r="H8" s="7" t="n">
        <v>-300000</v>
      </c>
      <c r="I8" s="7">
        <f>G8+H8</f>
        <v/>
      </c>
    </row>
    <row r="9">
      <c r="A9" s="5" t="inlineStr">
        <is>
          <t>1270</t>
        </is>
      </c>
      <c r="B9" s="6" t="inlineStr">
        <is>
          <t>Ekstern konsulentbistand</t>
        </is>
      </c>
      <c r="C9" s="7" t="n">
        <v>1500000</v>
      </c>
      <c r="D9" s="7" t="n">
        <v>900000</v>
      </c>
      <c r="E9" s="7">
        <f>D9-C9</f>
        <v/>
      </c>
      <c r="F9" s="8">
        <f>E9/C9</f>
        <v/>
      </c>
      <c r="G9" s="7" t="n">
        <v>2250000</v>
      </c>
      <c r="H9" s="7" t="n">
        <v>-750000</v>
      </c>
      <c r="I9" s="7">
        <f>G9+H9</f>
        <v/>
      </c>
    </row>
    <row r="10">
      <c r="A10" s="5" t="inlineStr">
        <is>
          <t>1600</t>
        </is>
      </c>
      <c r="B10" s="6" t="inlineStr">
        <is>
          <t>NAV Sykepengerefusjoner (inntekt)</t>
        </is>
      </c>
      <c r="C10" s="7" t="n">
        <v>-4000000</v>
      </c>
      <c r="D10" s="7" t="n">
        <v>-3150000</v>
      </c>
      <c r="E10" s="7">
        <f>D10-C10</f>
        <v/>
      </c>
      <c r="F10" s="8">
        <f>E10/C10</f>
        <v/>
      </c>
      <c r="G10" s="7" t="n">
        <v>-6000000</v>
      </c>
      <c r="H10" s="7" t="n">
        <v>-750000</v>
      </c>
      <c r="I10" s="7">
        <f>G10+H10</f>
        <v/>
      </c>
    </row>
    <row r="11">
      <c r="A11" s="5" t="inlineStr">
        <is>
          <t>1400</t>
        </is>
      </c>
      <c r="B11" s="6" t="inlineStr">
        <is>
          <t>Kjøp av tjenester / Driftsutstyr</t>
        </is>
      </c>
      <c r="C11" s="7" t="n">
        <v>5000000</v>
      </c>
      <c r="D11" s="7" t="n">
        <v>4900000</v>
      </c>
      <c r="E11" s="7">
        <f>D11-C11</f>
        <v/>
      </c>
      <c r="F11" s="8">
        <f>E11/C11</f>
        <v/>
      </c>
      <c r="G11" s="7" t="n">
        <v>7500000</v>
      </c>
      <c r="H11" s="7" t="n">
        <v>0</v>
      </c>
      <c r="I11" s="7">
        <f>G11+H11</f>
        <v/>
      </c>
    </row>
    <row r="12">
      <c r="A12" s="9" t="inlineStr">
        <is>
          <t>TOT</t>
        </is>
      </c>
      <c r="B12" s="9" t="inlineStr">
        <is>
          <t>SUM ENHET 202 GRUNNSKOLE</t>
        </is>
      </c>
      <c r="C12" s="10">
        <f>SUM(C6:C11)</f>
        <v/>
      </c>
      <c r="D12" s="10">
        <f>SUM(D6:D11)</f>
        <v/>
      </c>
      <c r="E12" s="10">
        <f>SUM(E6:E11)</f>
        <v/>
      </c>
      <c r="F12" s="11">
        <f>E12/C12</f>
        <v/>
      </c>
      <c r="G12" s="10">
        <f>SUM(G6:G11)</f>
        <v/>
      </c>
      <c r="H12" s="10">
        <f>SUM(H6:H11)</f>
        <v/>
      </c>
      <c r="I12" s="10">
        <f>SUM(I6:I11)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2026-10-14T14:21:09Z</dcterms:created>
  <dcterms:modified xmlns:dcterms="http://purl.org/dc/terms/" xmlns:xsi="http://www.w3.org/2001/XMLSchema-instance" xsi:type="dcterms:W3CDTF">2026-10-14T14:21:09Z</dcterms:modified>
</cp:coreProperties>
</file>