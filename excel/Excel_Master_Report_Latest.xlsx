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CONTROL" sheetId="2" state="visible" r:id="rId2"/>
    <sheet xmlns:r="http://schemas.openxmlformats.org/officeDocument/2006/relationships" name="02_DASHBOARD_EXEC" sheetId="3" state="visible" r:id="rId3"/>
    <sheet xmlns:r="http://schemas.openxmlformats.org/officeDocument/2006/relationships" name="03_DASHBOARD_OPPVEKST" sheetId="4" state="visible" r:id="rId4"/>
    <sheet xmlns:r="http://schemas.openxmlformats.org/officeDocument/2006/relationships" name="04_DASHBOARD_HELSE" sheetId="5" state="visible" r:id="rId5"/>
    <sheet xmlns:r="http://schemas.openxmlformats.org/officeDocument/2006/relationships" name="05_LONN_VIKAR" sheetId="6" state="visible" r:id="rId6"/>
    <sheet xmlns:r="http://schemas.openxmlformats.org/officeDocument/2006/relationships" name="06_PROGNOSE_SCENARIO" sheetId="7" state="visible" r:id="rId7"/>
    <sheet xmlns:r="http://schemas.openxmlformats.org/officeDocument/2006/relationships" name="07_EVM" sheetId="8" state="visible" r:id="rId8"/>
    <sheet xmlns:r="http://schemas.openxmlformats.org/officeDocument/2006/relationships" name="08_ROOT_CAUSE" sheetId="9" state="visible" r:id="rId9"/>
    <sheet xmlns:r="http://schemas.openxmlformats.org/officeDocument/2006/relationships" name="09_AUDIT" sheetId="10" state="visible" r:id="rId10"/>
    <sheet xmlns:r="http://schemas.openxmlformats.org/officeDocument/2006/relationships" name="10_DETAIL" sheetId="11" state="visible" r:id="rId11"/>
    <sheet xmlns:r="http://schemas.openxmlformats.org/officeDocument/2006/relationships" name="90_PIVOTS" sheetId="12" state="visible" r:id="rId12"/>
    <sheet xmlns:r="http://schemas.openxmlformats.org/officeDocument/2006/relationships" name="91_HELPER" sheetId="13" state="visible" r:id="rId13"/>
    <sheet xmlns:r="http://schemas.openxmlformats.org/officeDocument/2006/relationships" name="99_QA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#,##0&quot; kr&quot;"/>
    <numFmt numFmtId="166" formatCode="_(* #,##0_);[Red]_(* (#,##0);_(* &quot;-&quot;_);_(@_)"/>
    <numFmt numFmtId="167" formatCode="0.000"/>
  </numFmts>
  <fonts count="3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1B365D"/>
      <sz val="12"/>
    </font>
    <font>
      <name val="Arial"/>
      <b val="1"/>
      <color rgb="00495057"/>
      <sz val="10"/>
    </font>
    <font>
      <name val="Arial"/>
      <color rgb="00212529"/>
      <sz val="10"/>
    </font>
    <font>
      <name val="Arial"/>
      <b val="1"/>
      <color rgb="001B365D"/>
      <sz val="11"/>
    </font>
    <font>
      <name val="Arial"/>
      <b val="1"/>
      <color rgb="00FFFFFF"/>
      <sz val="10"/>
    </font>
    <font>
      <name val="Arial"/>
      <b val="1"/>
      <color rgb="001F2937"/>
      <sz val="9"/>
    </font>
    <font>
      <name val="Consolas"/>
      <color rgb="001E3A8A"/>
      <sz val="8"/>
    </font>
    <font>
      <name val="Arial"/>
      <color rgb="004B5563"/>
      <sz val="9"/>
    </font>
    <font>
      <name val="Arial"/>
      <b val="1"/>
      <color rgb="00212529"/>
      <sz val="9"/>
    </font>
    <font>
      <name val="Arial"/>
      <b val="1"/>
      <color rgb="00000080"/>
      <sz val="9"/>
    </font>
    <font>
      <name val="Arial"/>
      <color rgb="006C757D"/>
      <sz val="9"/>
    </font>
    <font>
      <name val="Arial"/>
      <color rgb="00212529"/>
      <sz val="9"/>
    </font>
    <font>
      <name val="Arial"/>
      <i val="1"/>
      <color rgb="006C757D"/>
      <sz val="8.5"/>
    </font>
    <font>
      <name val="Arial"/>
      <b val="1"/>
      <color rgb="006C757D"/>
      <sz val="9"/>
    </font>
    <font>
      <name val="Arial"/>
      <b val="1"/>
      <color rgb="00212529"/>
      <sz val="18"/>
    </font>
    <font>
      <name val="Arial"/>
      <b val="1"/>
      <color rgb="00155724"/>
      <sz val="18"/>
    </font>
    <font>
      <name val="Arial"/>
      <b val="1"/>
      <color rgb="00155724"/>
      <sz val="9"/>
    </font>
    <font>
      <name val="Arial"/>
      <b val="1"/>
      <color rgb="00721C24"/>
      <sz val="18"/>
    </font>
    <font>
      <name val="Arial"/>
      <b val="1"/>
      <color rgb="00721C24"/>
      <sz val="9"/>
    </font>
    <font>
      <name val="Arial"/>
      <b val="1"/>
      <color rgb="00212529"/>
      <sz val="9.5"/>
    </font>
    <font>
      <name val="Arial"/>
      <b val="1"/>
      <color rgb="001B365D"/>
      <sz val="10"/>
    </font>
    <font>
      <name val="Arial"/>
      <b val="1"/>
      <color rgb="00FFFFFF"/>
      <sz val="9"/>
    </font>
    <font>
      <name val="Arial"/>
      <color rgb="00212529"/>
      <sz val="8.5"/>
    </font>
    <font>
      <name val="Arial"/>
      <color rgb="00000000"/>
      <sz val="8.5"/>
    </font>
    <font>
      <name val="Arial"/>
      <b val="1"/>
      <color rgb="00155724"/>
      <sz val="8.5"/>
    </font>
    <font>
      <name val="Arial"/>
      <color rgb="00155724"/>
      <sz val="8.5"/>
    </font>
    <font>
      <name val="Arial"/>
      <b val="1"/>
      <color rgb="00856404"/>
      <sz val="8.5"/>
    </font>
    <font>
      <name val="Arial"/>
      <color rgb="00856404"/>
      <sz val="8.5"/>
    </font>
    <font>
      <name val="Arial"/>
      <b val="1"/>
      <color rgb="00721C24"/>
      <sz val="8.5"/>
    </font>
    <font>
      <name val="Arial"/>
      <color rgb="00721C24"/>
      <sz val="8.5"/>
    </font>
    <font>
      <name val="Arial"/>
      <color rgb="006C757D"/>
      <sz val="8.5"/>
    </font>
    <font>
      <name val="Arial"/>
      <b val="1"/>
      <color rgb="00000000"/>
      <sz val="9"/>
    </font>
    <font>
      <name val="Consolas"/>
      <color rgb="006C757D"/>
      <sz val="8"/>
    </font>
    <font>
      <name val="Arial"/>
      <b val="1"/>
      <color rgb="00856404"/>
      <sz val="9"/>
    </font>
    <font>
      <name val="Consolas"/>
      <color rgb="00000080"/>
      <sz val="8.5"/>
    </font>
    <font>
      <name val="Arial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8F0FE"/>
        <bgColor rgb="00E8F0FE"/>
      </patternFill>
    </fill>
    <fill>
      <patternFill patternType="solid">
        <fgColor rgb="00E9ECEF"/>
        <bgColor rgb="00E9ECEF"/>
      </patternFill>
    </fill>
    <fill>
      <patternFill patternType="solid">
        <fgColor rgb="00FFFFFF"/>
        <bgColor rgb="00FFFFFF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  <fill>
      <patternFill patternType="solid">
        <fgColor rgb="00F8F9FA"/>
        <bgColor rgb="00F8F9FA"/>
      </patternFill>
    </fill>
    <fill>
      <patternFill patternType="solid">
        <fgColor rgb="00FFF3CD"/>
        <bgColor rgb="00FFF3CD"/>
      </patternFill>
    </fill>
  </fills>
  <borders count="5">
    <border>
      <left/>
      <right/>
      <top/>
      <bottom/>
      <diagonal/>
    </border>
    <border>
      <bottom style="thin">
        <color rgb="00E0E0E0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bottom style="medium">
        <color rgb="001B365D"/>
      </bottom>
    </border>
    <border>
      <top style="thin">
        <color rgb="00E0E0E0"/>
      </top>
      <bottom style="double">
        <color rgb="001B365D"/>
      </bottom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left" vertical="center"/>
    </xf>
    <xf numFmtId="0" fontId="7" fillId="0" borderId="1" pivotButton="0" quotePrefix="0" xfId="0"/>
    <xf numFmtId="0" fontId="8" fillId="0" borderId="1" pivotButton="0" quotePrefix="0" xfId="0"/>
    <xf numFmtId="0" fontId="9" fillId="0" borderId="1" pivotButton="0" quotePrefix="0" xfId="0"/>
    <xf numFmtId="0" fontId="6" fillId="2" borderId="0" pivotButton="0" quotePrefix="0" xfId="0"/>
    <xf numFmtId="0" fontId="10" fillId="0" borderId="0" pivotButton="0" quotePrefix="0" xfId="0"/>
    <xf numFmtId="164" fontId="11" fillId="3" borderId="0" pivotButton="0" quotePrefix="0" xfId="0"/>
    <xf numFmtId="0" fontId="12" fillId="0" borderId="0" pivotButton="0" quotePrefix="0" xfId="0"/>
    <xf numFmtId="0" fontId="13" fillId="0" borderId="0" pivotButton="0" quotePrefix="0" xfId="0"/>
    <xf numFmtId="165" fontId="11" fillId="3" borderId="0" pivotButton="0" quotePrefix="0" xfId="0"/>
    <xf numFmtId="0" fontId="11" fillId="3" borderId="0" pivotButton="0" quotePrefix="0" xfId="0"/>
    <xf numFmtId="0" fontId="14" fillId="4" borderId="0" applyAlignment="1" pivotButton="0" quotePrefix="0" xfId="0">
      <alignment vertical="center"/>
    </xf>
    <xf numFmtId="0" fontId="15" fillId="5" borderId="2" applyAlignment="1" pivotButton="0" quotePrefix="0" xfId="0">
      <alignment horizontal="center" vertical="center"/>
    </xf>
    <xf numFmtId="0" fontId="0" fillId="5" borderId="2" pivotButton="0" quotePrefix="0" xfId="0"/>
    <xf numFmtId="0" fontId="15" fillId="6" borderId="2" applyAlignment="1" pivotButton="0" quotePrefix="0" xfId="0">
      <alignment horizontal="center" vertical="center"/>
    </xf>
    <xf numFmtId="0" fontId="0" fillId="6" borderId="2" pivotButton="0" quotePrefix="0" xfId="0"/>
    <xf numFmtId="0" fontId="15" fillId="7" borderId="2" applyAlignment="1" pivotButton="0" quotePrefix="0" xfId="0">
      <alignment horizontal="center" vertical="center"/>
    </xf>
    <xf numFmtId="0" fontId="0" fillId="7" borderId="2" pivotButton="0" quotePrefix="0" xfId="0"/>
    <xf numFmtId="165" fontId="16" fillId="5" borderId="2" applyAlignment="1" pivotButton="0" quotePrefix="0" xfId="0">
      <alignment horizontal="center" vertical="center"/>
    </xf>
    <xf numFmtId="166" fontId="17" fillId="6" borderId="2" applyAlignment="1" pivotButton="0" quotePrefix="0" xfId="0">
      <alignment horizontal="center" vertical="center"/>
    </xf>
    <xf numFmtId="166" fontId="19" fillId="7" borderId="2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/>
    </xf>
    <xf numFmtId="0" fontId="18" fillId="6" borderId="2" applyAlignment="1" pivotButton="0" quotePrefix="0" xfId="0">
      <alignment horizontal="center" vertical="center"/>
    </xf>
    <xf numFmtId="0" fontId="20" fillId="7" borderId="2" applyAlignment="1" pivotButton="0" quotePrefix="0" xfId="0">
      <alignment horizontal="center" vertical="center"/>
    </xf>
    <xf numFmtId="0" fontId="21" fillId="8" borderId="2" applyAlignment="1" pivotButton="0" quotePrefix="0" xfId="0">
      <alignment horizontal="left" vertical="center" wrapText="1"/>
    </xf>
    <xf numFmtId="0" fontId="0" fillId="0" borderId="2" pivotButton="0" quotePrefix="0" xfId="0"/>
    <xf numFmtId="0" fontId="22" fillId="0" borderId="3" pivotButton="0" quotePrefix="0" xfId="0"/>
    <xf numFmtId="0" fontId="23" fillId="2" borderId="0" applyAlignment="1" pivotButton="0" quotePrefix="0" xfId="0">
      <alignment horizontal="left"/>
    </xf>
    <xf numFmtId="0" fontId="23" fillId="2" borderId="0" applyAlignment="1" pivotButton="0" quotePrefix="0" xfId="0">
      <alignment horizontal="right"/>
    </xf>
    <xf numFmtId="0" fontId="24" fillId="0" borderId="1" pivotButton="0" quotePrefix="0" xfId="0"/>
    <xf numFmtId="165" fontId="25" fillId="0" borderId="1" pivotButton="0" quotePrefix="0" xfId="0"/>
    <xf numFmtId="166" fontId="26" fillId="0" borderId="1" pivotButton="0" quotePrefix="0" xfId="0"/>
    <xf numFmtId="164" fontId="27" fillId="0" borderId="1" pivotButton="0" quotePrefix="0" xfId="0"/>
    <xf numFmtId="0" fontId="26" fillId="6" borderId="1" pivotButton="0" quotePrefix="0" xfId="0"/>
    <xf numFmtId="0" fontId="32" fillId="0" borderId="1" pivotButton="0" quotePrefix="0" xfId="0"/>
    <xf numFmtId="165" fontId="30" fillId="0" borderId="1" pivotButton="0" quotePrefix="0" xfId="0"/>
    <xf numFmtId="0" fontId="30" fillId="7" borderId="1" pivotButton="0" quotePrefix="0" xfId="0"/>
    <xf numFmtId="166" fontId="28" fillId="0" borderId="1" pivotButton="0" quotePrefix="0" xfId="0"/>
    <xf numFmtId="164" fontId="29" fillId="0" borderId="1" pivotButton="0" quotePrefix="0" xfId="0"/>
    <xf numFmtId="0" fontId="28" fillId="9" borderId="1" pivotButton="0" quotePrefix="0" xfId="0"/>
    <xf numFmtId="166" fontId="30" fillId="0" borderId="1" pivotButton="0" quotePrefix="0" xfId="0"/>
    <xf numFmtId="164" fontId="31" fillId="0" borderId="1" pivotButton="0" quotePrefix="0" xfId="0"/>
    <xf numFmtId="0" fontId="32" fillId="8" borderId="2" applyAlignment="1" pivotButton="0" quotePrefix="0" xfId="0">
      <alignment horizontal="left" vertical="top" wrapText="1"/>
    </xf>
    <xf numFmtId="164" fontId="19" fillId="7" borderId="2" applyAlignment="1" pivotButton="0" quotePrefix="0" xfId="0">
      <alignment horizontal="center" vertical="center"/>
    </xf>
    <xf numFmtId="0" fontId="0" fillId="0" borderId="1" pivotButton="0" quotePrefix="0" xfId="0"/>
    <xf numFmtId="165" fontId="0" fillId="0" borderId="1" pivotButton="0" quotePrefix="0" xfId="0"/>
    <xf numFmtId="164" fontId="0" fillId="0" borderId="1" pivotButton="0" quotePrefix="0" xfId="0"/>
    <xf numFmtId="165" fontId="19" fillId="7" borderId="2" applyAlignment="1" pivotButton="0" quotePrefix="0" xfId="0">
      <alignment horizontal="center" vertical="center"/>
    </xf>
    <xf numFmtId="165" fontId="17" fillId="6" borderId="2" applyAlignment="1" pivotButton="0" quotePrefix="0" xfId="0">
      <alignment horizontal="center" vertical="center"/>
    </xf>
    <xf numFmtId="0" fontId="22" fillId="0" borderId="0" pivotButton="0" quotePrefix="0" xfId="0"/>
    <xf numFmtId="0" fontId="23" fillId="2" borderId="0" pivotButton="0" quotePrefix="0" xfId="0"/>
    <xf numFmtId="0" fontId="10" fillId="0" borderId="1" pivotButton="0" quotePrefix="0" xfId="0"/>
    <xf numFmtId="165" fontId="33" fillId="0" borderId="1" pivotButton="0" quotePrefix="0" xfId="0"/>
    <xf numFmtId="0" fontId="12" fillId="0" borderId="1" pivotButton="0" quotePrefix="0" xfId="0"/>
    <xf numFmtId="0" fontId="13" fillId="0" borderId="1" pivotButton="0" quotePrefix="0" xfId="0"/>
    <xf numFmtId="0" fontId="10" fillId="0" borderId="4" pivotButton="0" quotePrefix="0" xfId="0"/>
    <xf numFmtId="165" fontId="33" fillId="0" borderId="4" pivotButton="0" quotePrefix="0" xfId="0"/>
    <xf numFmtId="0" fontId="12" fillId="0" borderId="4" pivotButton="0" quotePrefix="0" xfId="0"/>
    <xf numFmtId="167" fontId="19" fillId="7" borderId="2" applyAlignment="1" pivotButton="0" quotePrefix="0" xfId="0">
      <alignment horizontal="center" vertical="center"/>
    </xf>
    <xf numFmtId="167" fontId="0" fillId="0" borderId="1" pivotButton="0" quotePrefix="0" xfId="0"/>
    <xf numFmtId="165" fontId="26" fillId="0" borderId="1" pivotButton="0" quotePrefix="0" xfId="0"/>
    <xf numFmtId="0" fontId="18" fillId="0" borderId="1" pivotButton="0" quotePrefix="0" xfId="0"/>
    <xf numFmtId="0" fontId="34" fillId="0" borderId="1" pivotButton="0" quotePrefix="0" xfId="0"/>
    <xf numFmtId="0" fontId="35" fillId="0" borderId="1" pivotButton="0" quotePrefix="0" xfId="0"/>
    <xf numFmtId="166" fontId="0" fillId="0" borderId="1" pivotButton="0" quotePrefix="0" xfId="0"/>
    <xf numFmtId="0" fontId="36" fillId="0" borderId="1" pivotButton="0" quotePrefix="0" xfId="0"/>
    <xf numFmtId="0" fontId="37" fillId="0" borderId="1" pivotButton="0" quotePrefix="0" xfId="0"/>
    <xf numFmtId="0" fontId="33" fillId="0" borderId="1" pivotButton="0" quotePrefix="0" xfId="0"/>
    <xf numFmtId="0" fontId="18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25"/>
  <sheetViews>
    <sheetView showGridLines="0" workbookViewId="0">
      <selection activeCell="A1" sqref="A1"/>
    </sheetView>
  </sheetViews>
  <sheetFormatPr baseColWidth="8" defaultRowHeight="15"/>
  <cols>
    <col width="24" customWidth="1" min="2" max="2"/>
    <col width="46" customWidth="1" min="3" max="3"/>
    <col width="50" customWidth="1" min="4" max="4"/>
  </cols>
  <sheetData>
    <row r="2" ht="28" customHeight="1">
      <c r="B2" s="1" t="inlineStr">
        <is>
          <t xml:space="preserve">  KRISTIANSAND KOMMUNE — ØKONOMISTYRING &amp; PROJECT CONTROLLING  |  Arkitekturguide</t>
        </is>
      </c>
    </row>
    <row r="4">
      <c r="B4" s="2" t="inlineStr">
        <is>
          <t>OM DENNE ARBEIDSBOKEN (EXCEL MASTER REPORT)</t>
        </is>
      </c>
    </row>
    <row r="6" ht="20" customHeight="1">
      <c r="B6" s="3" t="inlineStr">
        <is>
          <t>Formål:</t>
        </is>
      </c>
      <c r="D6" s="4" t="inlineStr">
        <is>
          <t>Denne modellen oversetter Power BI Enterprise-styringslogikken til en fullverdig Excel Controller-modell.</t>
        </is>
      </c>
    </row>
    <row r="7" ht="20" customHeight="1">
      <c r="B7" s="3" t="inlineStr">
        <is>
          <t>Metodikk:</t>
        </is>
      </c>
      <c r="D7" s="4" t="inlineStr">
        <is>
          <t>Power Query ETL -&gt; Data Model (Star Schema) -&gt; Power Pivot DAX -&gt; Slicers -&gt; Dashboards -&gt; QA.</t>
        </is>
      </c>
    </row>
    <row r="8" ht="20" customHeight="1">
      <c r="B8" s="3" t="inlineStr">
        <is>
          <t>Standarder:</t>
        </is>
      </c>
      <c r="D8" s="4" t="inlineStr">
        <is>
          <t>FAST Standard for finansiell modellering | Edward Tufte Data-Ink Ratio | Kommuneloven § 14-5 &amp; § 14-6.</t>
        </is>
      </c>
    </row>
    <row r="9" ht="20" customHeight="1">
      <c r="B9" s="3" t="inlineStr">
        <is>
          <t>Fortegnsregel:</t>
        </is>
      </c>
      <c r="D9" s="4" t="inlineStr">
        <is>
          <t>Avvik = Budsjett - Regnskap. Positivt avvik = Grønt (Mindreforbruk). Negativt avvik = Rødt (Merforbruk).</t>
        </is>
      </c>
    </row>
    <row r="10" ht="20" customHeight="1">
      <c r="B10" s="3" t="inlineStr">
        <is>
          <t>Saksbehandler:</t>
        </is>
      </c>
      <c r="D10" s="4" t="inlineStr">
        <is>
          <t>Frank Ellingsen, Senior Financial Controller &amp; BI-Spesialist.</t>
        </is>
      </c>
    </row>
    <row r="11" ht="20" customHeight="1">
      <c r="B11" s="3" t="inlineStr">
        <is>
          <t>Opprettet dato:</t>
        </is>
      </c>
      <c r="D11" s="4" t="inlineStr">
        <is>
          <t>18.10.2026 kl. 17:08</t>
        </is>
      </c>
    </row>
    <row r="12" ht="20" customHeight="1">
      <c r="B12" s="3" t="inlineStr">
        <is>
          <t>Kryptografisk stempel:</t>
        </is>
      </c>
      <c r="D12" s="4" t="inlineStr">
        <is>
          <t>SHA-256: 1eb63ca16ff425abfb0d2b4f8cbda026e4be099841ab8916bf6e0fc84ddfcd58</t>
        </is>
      </c>
    </row>
    <row r="15">
      <c r="B15" s="5" t="inlineStr">
        <is>
          <t>KANONISK DAX MEASURE-KATALOG (POWER PIVOT)</t>
        </is>
      </c>
    </row>
    <row r="17" ht="22" customHeight="1">
      <c r="B17" s="6" t="inlineStr">
        <is>
          <t>Measure Navn</t>
        </is>
      </c>
      <c r="C17" s="6" t="inlineStr">
        <is>
          <t>DAX Formel / Definisjon</t>
        </is>
      </c>
      <c r="D17" s="6" t="inlineStr">
        <is>
          <t>Beskrivelse &amp; Styringsbetydning</t>
        </is>
      </c>
    </row>
    <row r="18" ht="20" customHeight="1">
      <c r="B18" s="7" t="inlineStr">
        <is>
          <t>Regnskap YTD</t>
        </is>
      </c>
      <c r="C18" s="8" t="inlineStr">
        <is>
          <t>CALCULATE(SUM(FactFinance[Amount]), FactFinance[DataType]='Actual')</t>
        </is>
      </c>
      <c r="D18" s="9" t="inlineStr">
        <is>
          <t>Faktisk bokførte kostnader hittil i år (AC)</t>
        </is>
      </c>
    </row>
    <row r="19" ht="20" customHeight="1">
      <c r="B19" s="7" t="inlineStr">
        <is>
          <t>Budsjett YTD</t>
        </is>
      </c>
      <c r="C19" s="8" t="inlineStr">
        <is>
          <t>CALCULATE(SUM(FactFinance[Amount]), FactFinance[DataType]='Budget')</t>
        </is>
      </c>
      <c r="D19" s="9" t="inlineStr">
        <is>
          <t>Periodisert vedtatt budsjettramme hittil i år (PV)</t>
        </is>
      </c>
    </row>
    <row r="20" ht="20" customHeight="1">
      <c r="B20" s="7" t="inlineStr">
        <is>
          <t>Avvik YTD</t>
        </is>
      </c>
      <c r="C20" s="8" t="inlineStr">
        <is>
          <t>[Budsjett YTD] - [Regnskap YTD]</t>
        </is>
      </c>
      <c r="D20" s="9" t="inlineStr">
        <is>
          <t>Netto avvik i NOK. Positiv = Mindreforbruk (Grønn), Negativ = Merforbruk (Rød)</t>
        </is>
      </c>
    </row>
    <row r="21" ht="20" customHeight="1">
      <c r="B21" s="7" t="inlineStr">
        <is>
          <t>Avvik YTD %</t>
        </is>
      </c>
      <c r="C21" s="8" t="inlineStr">
        <is>
          <t>DIVIDE([Avvik YTD], ABS([Budsjett YTD]))</t>
        </is>
      </c>
      <c r="D21" s="9" t="inlineStr">
        <is>
          <t>Prosentvis avvik mot periodisert budsjett</t>
        </is>
      </c>
    </row>
    <row r="22" ht="20" customHeight="1">
      <c r="B22" s="7" t="inlineStr">
        <is>
          <t>RAG Status</t>
        </is>
      </c>
      <c r="C22" s="8" t="inlineStr">
        <is>
          <t>SWITCH(TRUE(), [Avvik YTD %] &lt; -0.02, 'Red', [Avvik YTD %] &gt; 0.02, 'Green', 'Amber')</t>
        </is>
      </c>
      <c r="D22" s="9" t="inlineStr">
        <is>
          <t>Toleransestyrt trafikklys med ± 2 % bånd</t>
        </is>
      </c>
    </row>
    <row r="23" ht="20" customHeight="1">
      <c r="B23" s="7" t="inlineStr">
        <is>
          <t>EAC Sluttprognose</t>
        </is>
      </c>
      <c r="C23" s="8" t="inlineStr">
        <is>
          <t>IF([CPI]&gt;0, [BAC Total] / [CPI], [BAC Total])</t>
        </is>
      </c>
      <c r="D23" s="9" t="inlineStr">
        <is>
          <t>Estimate at Completion basert på historisk kostnadseffektivitet</t>
        </is>
      </c>
    </row>
    <row r="24" ht="20" customHeight="1">
      <c r="B24" s="7" t="inlineStr">
        <is>
          <t>Vikarandel</t>
        </is>
      </c>
      <c r="C24" s="8" t="inlineStr">
        <is>
          <t>DIVIDE([Vikarutgift], [Lønnskostnad Total])</t>
        </is>
      </c>
      <c r="D24" s="9" t="inlineStr">
        <is>
          <t>Andel vikarinnleie av totale personalkostnader (mål &lt; 4.5 %)</t>
        </is>
      </c>
    </row>
    <row r="25" ht="20" customHeight="1">
      <c r="B25" s="7" t="inlineStr">
        <is>
          <t>Overtidsandel</t>
        </is>
      </c>
      <c r="C25" s="8" t="inlineStr">
        <is>
          <t>DIVIDE([Overtid], [Lønnskostnad Total])</t>
        </is>
      </c>
      <c r="D25" s="9" t="inlineStr">
        <is>
          <t>Andel overtid av totale personalkostnader (AML § 10-12 tak)</t>
        </is>
      </c>
    </row>
  </sheetData>
  <mergeCells count="1">
    <mergeCell ref="B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4"/>
  <sheetViews>
    <sheetView showGridLines="1" workbookViewId="0">
      <selection activeCell="A1" sqref="A1"/>
    </sheetView>
  </sheetViews>
  <sheetFormatPr baseColWidth="8" defaultRowHeight="15"/>
  <cols>
    <col width="28" customWidth="1" min="2" max="2"/>
    <col width="18" customWidth="1" min="3" max="3"/>
    <col width="14" customWidth="1" min="4" max="4"/>
    <col width="14" customWidth="1" min="5" max="5"/>
    <col width="48" customWidth="1" min="6" max="6"/>
  </cols>
  <sheetData>
    <row r="2" ht="28" customHeight="1">
      <c r="B2" s="1" t="inlineStr">
        <is>
          <t xml:space="preserve">  01_CONTROL: FORUTSETNINGER, TERSKELVERDIER &amp; STYRINGSPARAMETERE</t>
        </is>
      </c>
    </row>
    <row r="4" ht="22" customHeight="1">
      <c r="B4" s="10" t="inlineStr">
        <is>
          <t>Parameternavn</t>
        </is>
      </c>
      <c r="C4" s="10" t="inlineStr">
        <is>
          <t>Verdi</t>
        </is>
      </c>
      <c r="D4" s="10" t="inlineStr">
        <is>
          <t>FAST Type</t>
        </is>
      </c>
      <c r="E4" s="10" t="inlineStr">
        <is>
          <t>Enhet</t>
        </is>
      </c>
      <c r="F4" s="10" t="inlineStr">
        <is>
          <t>Beskrivelse / Forankring</t>
        </is>
      </c>
    </row>
    <row r="5" ht="20" customHeight="1">
      <c r="B5" s="11" t="inlineStr">
        <is>
          <t>RAG_Green_Threshold</t>
        </is>
      </c>
      <c r="C5" s="12" t="n">
        <v>0.02</v>
      </c>
      <c r="D5" s="13" t="inlineStr">
        <is>
          <t>INPUT</t>
        </is>
      </c>
      <c r="E5" s="13" t="inlineStr">
        <is>
          <t>Prosent</t>
        </is>
      </c>
      <c r="F5" s="14" t="inlineStr">
        <is>
          <t>Gunstig avviksterskel (mindreforbruk &gt; 2.0 %)</t>
        </is>
      </c>
    </row>
    <row r="6" ht="20" customHeight="1">
      <c r="B6" s="11" t="inlineStr">
        <is>
          <t>RAG_Red_Threshold</t>
        </is>
      </c>
      <c r="C6" s="12" t="n">
        <v>-0.02</v>
      </c>
      <c r="D6" s="13" t="inlineStr">
        <is>
          <t>INPUT</t>
        </is>
      </c>
      <c r="E6" s="13" t="inlineStr">
        <is>
          <t>Prosent</t>
        </is>
      </c>
      <c r="F6" s="14" t="inlineStr">
        <is>
          <t>Ugunstig avviksterskel (merforbruk &gt; 2.0 %)</t>
        </is>
      </c>
    </row>
    <row r="7" ht="20" customHeight="1">
      <c r="B7" s="11" t="inlineStr">
        <is>
          <t>Materiality_Limit_NOK</t>
        </is>
      </c>
      <c r="C7" s="15" t="n">
        <v>100000</v>
      </c>
      <c r="D7" s="13" t="inlineStr">
        <is>
          <t>INPUT</t>
        </is>
      </c>
      <c r="E7" s="13" t="inlineStr">
        <is>
          <t>NOK</t>
        </is>
      </c>
      <c r="F7" s="14" t="inlineStr">
        <is>
          <t>Beløpsgrense for vesentlighet i avvikskommentar</t>
        </is>
      </c>
    </row>
    <row r="8" ht="20" customHeight="1">
      <c r="B8" s="11" t="inlineStr">
        <is>
          <t>Critical_Merforbruk_NOK</t>
        </is>
      </c>
      <c r="C8" s="15" t="n">
        <v>500000</v>
      </c>
      <c r="D8" s="13" t="inlineStr">
        <is>
          <t>INPUT</t>
        </is>
      </c>
      <c r="E8" s="13" t="inlineStr">
        <is>
          <t>NOK</t>
        </is>
      </c>
      <c r="F8" s="14" t="inlineStr">
        <is>
          <t>Kommuneloven § 14-5 varselgrense til Formannskapet</t>
        </is>
      </c>
    </row>
    <row r="9" ht="20" customHeight="1">
      <c r="B9" s="11" t="inlineStr">
        <is>
          <t>Active_Fiscal_Year</t>
        </is>
      </c>
      <c r="C9" s="16" t="n">
        <v>2026</v>
      </c>
      <c r="D9" s="13" t="inlineStr">
        <is>
          <t>INPUT</t>
        </is>
      </c>
      <c r="E9" s="13" t="inlineStr">
        <is>
          <t>År</t>
        </is>
      </c>
      <c r="F9" s="14" t="inlineStr">
        <is>
          <t>Gjeldende regnskapsår</t>
        </is>
      </c>
    </row>
    <row r="10" ht="20" customHeight="1">
      <c r="B10" s="11" t="inlineStr">
        <is>
          <t>Active_Reporting_Period</t>
        </is>
      </c>
      <c r="C10" s="16" t="inlineStr">
        <is>
          <t>T2 (M08)</t>
        </is>
      </c>
      <c r="D10" s="13" t="inlineStr">
        <is>
          <t>INPUT</t>
        </is>
      </c>
      <c r="E10" s="13" t="inlineStr">
        <is>
          <t>Tekst</t>
        </is>
      </c>
      <c r="F10" s="14" t="inlineStr">
        <is>
          <t>Aktiv rapporteringsperiode</t>
        </is>
      </c>
    </row>
    <row r="11" ht="20" customHeight="1">
      <c r="B11" s="11" t="inlineStr">
        <is>
          <t>Default_Controller</t>
        </is>
      </c>
      <c r="C11" s="16" t="inlineStr">
        <is>
          <t>Frank Ellingsen</t>
        </is>
      </c>
      <c r="D11" s="13" t="inlineStr">
        <is>
          <t>INPUT</t>
        </is>
      </c>
      <c r="E11" s="13" t="inlineStr">
        <is>
          <t>Tekst</t>
        </is>
      </c>
      <c r="F11" s="14" t="inlineStr">
        <is>
          <t>Ansvarlig senior financial controller</t>
        </is>
      </c>
    </row>
    <row r="12" ht="20" customHeight="1">
      <c r="B12" s="11" t="inlineStr">
        <is>
          <t>EVM_KS2_P85_Tillegg</t>
        </is>
      </c>
      <c r="C12" s="12" t="n">
        <v>0.08</v>
      </c>
      <c r="D12" s="13" t="inlineStr">
        <is>
          <t>INPUT</t>
        </is>
      </c>
      <c r="E12" s="13" t="inlineStr">
        <is>
          <t>Prosent</t>
        </is>
      </c>
      <c r="F12" s="14" t="inlineStr">
        <is>
          <t>Usikkerhetsavsetning Statens Prosjektmodell (KS2)</t>
        </is>
      </c>
    </row>
    <row r="13" ht="20" customHeight="1">
      <c r="B13" s="11" t="inlineStr">
        <is>
          <t>Lønnsdeflator_Prognose</t>
        </is>
      </c>
      <c r="C13" s="12" t="n">
        <v>0.023</v>
      </c>
      <c r="D13" s="13" t="inlineStr">
        <is>
          <t>INPUT</t>
        </is>
      </c>
      <c r="E13" s="13" t="inlineStr">
        <is>
          <t>Prosent</t>
        </is>
      </c>
      <c r="F13" s="14" t="inlineStr">
        <is>
          <t>Forventet kommunal lønnsvekst (deflator)</t>
        </is>
      </c>
    </row>
    <row r="14" ht="20" customHeight="1">
      <c r="B14" s="11" t="inlineStr">
        <is>
          <t>Fraværsreduksjon_Mål</t>
        </is>
      </c>
      <c r="C14" s="12" t="n">
        <v>0.008</v>
      </c>
      <c r="D14" s="13" t="inlineStr">
        <is>
          <t>INPUT</t>
        </is>
      </c>
      <c r="E14" s="13" t="inlineStr">
        <is>
          <t>Prosent</t>
        </is>
      </c>
      <c r="F14" s="14" t="inlineStr">
        <is>
          <t>Målrettet reduksjon i sykefravær etter tiltak</t>
        </is>
      </c>
    </row>
  </sheetData>
  <mergeCells count="1">
    <mergeCell ref="B2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M25"/>
  <sheetViews>
    <sheetView showGridLines="0" workbookViewId="0">
      <selection activeCell="A1" sqref="A1"/>
    </sheetView>
  </sheetViews>
  <sheetFormatPr baseColWidth="8" defaultRowHeight="15"/>
  <cols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2" ht="28" customHeight="1">
      <c r="B2" s="1" t="inlineStr">
        <is>
          <t xml:space="preserve">  ØKONOMISK STATUS KONSERN — 2. TERTIAL 2026  |  Bystyret &amp; Kommunedirektøren</t>
        </is>
      </c>
    </row>
    <row r="3" ht="20" customHeight="1">
      <c r="B3" s="17" t="inlineStr">
        <is>
          <t xml:space="preserve">  Filterkontekst: Konsern samlet  |  Budsjettnivå: Alle virksomhetsområder  |  Periode: YTD Aug-2026  |  Fortegnsregel: Avvik = Budsjett - Regnskap</t>
        </is>
      </c>
    </row>
    <row r="5" ht="18" customHeight="1">
      <c r="B5" s="18" t="inlineStr">
        <is>
          <t>REGNSKAP YTD (AC)</t>
        </is>
      </c>
      <c r="C5" s="19" t="n"/>
      <c r="D5" s="19" t="n"/>
      <c r="E5" s="18" t="inlineStr">
        <is>
          <t>BUDSJETT YTD (PV)</t>
        </is>
      </c>
      <c r="F5" s="19" t="n"/>
      <c r="G5" s="19" t="n"/>
      <c r="H5" s="20" t="inlineStr">
        <is>
          <t>AVVIK YTD (CV)</t>
        </is>
      </c>
      <c r="I5" s="21" t="n"/>
      <c r="J5" s="21" t="n"/>
      <c r="K5" s="22" t="inlineStr">
        <is>
          <t>STIPULERT EOY AVVIK</t>
        </is>
      </c>
      <c r="L5" s="23" t="n"/>
      <c r="M5" s="23" t="n"/>
    </row>
    <row r="6" ht="28" customHeight="1">
      <c r="B6" s="24" t="n">
        <v>83506244</v>
      </c>
      <c r="C6" s="19" t="n"/>
      <c r="D6" s="19" t="n"/>
      <c r="E6" s="24" t="n">
        <v>83930572</v>
      </c>
      <c r="F6" s="19" t="n"/>
      <c r="G6" s="19" t="n"/>
      <c r="H6" s="25" t="n">
        <v>424328</v>
      </c>
      <c r="I6" s="21" t="n"/>
      <c r="J6" s="21" t="n"/>
      <c r="K6" s="26" t="n">
        <v>-32306652</v>
      </c>
      <c r="L6" s="23" t="n"/>
      <c r="M6" s="23" t="n"/>
    </row>
    <row r="7" ht="18" customHeight="1">
      <c r="B7" s="27" t="inlineStr">
        <is>
          <t>Bokført forbruk per 31.08</t>
        </is>
      </c>
      <c r="C7" s="19" t="n"/>
      <c r="D7" s="19" t="n"/>
      <c r="E7" s="27" t="inlineStr">
        <is>
          <t>Periodisert ramme per 31.08</t>
        </is>
      </c>
      <c r="F7" s="19" t="n"/>
      <c r="G7" s="19" t="n"/>
      <c r="H7" s="28" t="inlineStr">
        <is>
          <t>● Gunstig (+0.5 % avvik)</t>
        </is>
      </c>
      <c r="I7" s="21" t="n"/>
      <c r="J7" s="21" t="n"/>
      <c r="K7" s="29" t="inlineStr">
        <is>
          <t>● Ugunstig (-38.5 % merforbruk)</t>
        </is>
      </c>
      <c r="L7" s="23" t="n"/>
      <c r="M7" s="23" t="n"/>
    </row>
    <row r="9" ht="24" customHeight="1">
      <c r="B9" s="30" t="inlineStr">
        <is>
          <t>EXECUTIVE SUMMARY: YTD-regnskapet viser et samlet mindreforbruk på 0,42 mill. kr (-0,5 %) mot periodisert ramme. Dette skyldes i hovedsak forsinkelser i varekjøp og refusjonsavregninger i Q1/Q2. Driverbasert Monte Carlo-simulering (p50) indikerer imidlertid et kritisk helårsmerforbruk på 32,3 mill. kr grunnet akselererende vikarbruk i Grunnskole (+15,6M) og heldøgnsomsorg (+16,7M). Formell sak fremmes Formannskapet jf. Kommuneloven § 14-5.</t>
        </is>
      </c>
      <c r="C9" s="31" t="n"/>
      <c r="D9" s="31" t="n"/>
      <c r="E9" s="31" t="n"/>
      <c r="F9" s="31" t="n"/>
      <c r="G9" s="31" t="n"/>
      <c r="H9" s="31" t="n"/>
      <c r="I9" s="31" t="n"/>
      <c r="J9" s="31" t="n"/>
      <c r="K9" s="31" t="n"/>
      <c r="L9" s="31" t="n"/>
      <c r="M9" s="31" t="n"/>
    </row>
    <row r="10" ht="24" customHeight="1">
      <c r="B10" s="31" t="n"/>
      <c r="C10" s="31" t="n"/>
      <c r="D10" s="31" t="n"/>
      <c r="E10" s="31" t="n"/>
      <c r="F10" s="31" t="n"/>
      <c r="G10" s="31" t="n"/>
      <c r="H10" s="31" t="n"/>
      <c r="I10" s="31" t="n"/>
      <c r="J10" s="31" t="n"/>
      <c r="K10" s="31" t="n"/>
      <c r="L10" s="31" t="n"/>
      <c r="M10" s="31" t="n"/>
    </row>
    <row r="12">
      <c r="B12" s="32" t="inlineStr">
        <is>
          <t>MÅNEDLIG AVVIKSTREND 2026 (TUFTE TALLREKKE)</t>
        </is>
      </c>
      <c r="H12" s="32" t="inlineStr">
        <is>
          <t>STØRSTE AVVIKSDRIVERE (MERFORBRUK YTD)</t>
        </is>
      </c>
    </row>
    <row r="13" ht="20" customHeight="1">
      <c r="B13" s="33" t="inlineStr">
        <is>
          <t>Måned</t>
        </is>
      </c>
      <c r="C13" s="34" t="inlineStr">
        <is>
          <t>Regnskap (NOK)</t>
        </is>
      </c>
      <c r="D13" s="34" t="inlineStr">
        <is>
          <t>Budsjett (NOK)</t>
        </is>
      </c>
      <c r="E13" s="34" t="inlineStr">
        <is>
          <t>Avvik (NOK)</t>
        </is>
      </c>
      <c r="F13" s="34" t="inlineStr">
        <is>
          <t>Avvik %</t>
        </is>
      </c>
      <c r="G13" s="34" t="inlineStr">
        <is>
          <t>RAG</t>
        </is>
      </c>
      <c r="H13" s="33" t="inlineStr">
        <is>
          <t>KOSTRA Art</t>
        </is>
      </c>
      <c r="I13" s="33" t="inlineStr">
        <is>
          <t>Enhet</t>
        </is>
      </c>
      <c r="J13" s="34" t="inlineStr">
        <is>
          <t>Budsjett (NOK)</t>
        </is>
      </c>
      <c r="K13" s="34" t="inlineStr">
        <is>
          <t>Regnskap (NOK)</t>
        </is>
      </c>
      <c r="L13" s="34" t="inlineStr">
        <is>
          <t>Merforbruk</t>
        </is>
      </c>
      <c r="M13" s="34" t="inlineStr">
        <is>
          <t>Signal</t>
        </is>
      </c>
    </row>
    <row r="14" ht="18" customHeight="1">
      <c r="B14" s="35" t="inlineStr">
        <is>
          <t>Januar 2026</t>
        </is>
      </c>
      <c r="C14" s="36" t="n">
        <v>9850000</v>
      </c>
      <c r="D14" s="36" t="n">
        <v>10200000</v>
      </c>
      <c r="E14" s="37" t="n">
        <v>350000</v>
      </c>
      <c r="F14" s="38" t="n">
        <v>0.034</v>
      </c>
      <c r="G14" s="39" t="inlineStr">
        <is>
          <t>● Gunstig</t>
        </is>
      </c>
      <c r="H14" s="35" t="inlineStr">
        <is>
          <t>Fast lønn lærere</t>
        </is>
      </c>
      <c r="I14" s="40" t="inlineStr">
        <is>
          <t>Kommunal Skole</t>
        </is>
      </c>
      <c r="J14" s="36" t="n">
        <v>15729000</v>
      </c>
      <c r="K14" s="36" t="n">
        <v>18197000</v>
      </c>
      <c r="L14" s="41" t="n">
        <v>2468000</v>
      </c>
      <c r="M14" s="42" t="inlineStr">
        <is>
          <t>🔴 Kritisk</t>
        </is>
      </c>
    </row>
    <row r="15" ht="18" customHeight="1">
      <c r="B15" s="35" t="inlineStr">
        <is>
          <t>Februar 2026</t>
        </is>
      </c>
      <c r="C15" s="36" t="n">
        <v>10150000</v>
      </c>
      <c r="D15" s="36" t="n">
        <v>10300000</v>
      </c>
      <c r="E15" s="43" t="n">
        <v>150000</v>
      </c>
      <c r="F15" s="44" t="n">
        <v>0.015</v>
      </c>
      <c r="G15" s="45" t="inlineStr">
        <is>
          <t>● Toleranse</t>
        </is>
      </c>
      <c r="H15" s="35" t="inlineStr">
        <is>
          <t>Lønn til tilkallingsvikarer</t>
        </is>
      </c>
      <c r="I15" s="40" t="inlineStr">
        <is>
          <t>Kommunal Skole</t>
        </is>
      </c>
      <c r="J15" s="36" t="n">
        <v>202000</v>
      </c>
      <c r="K15" s="36" t="n">
        <v>847000</v>
      </c>
      <c r="L15" s="41" t="n">
        <v>645000</v>
      </c>
      <c r="M15" s="42" t="inlineStr">
        <is>
          <t>🔴 Kritisk</t>
        </is>
      </c>
    </row>
    <row r="16" ht="18" customHeight="1">
      <c r="B16" s="35" t="inlineStr">
        <is>
          <t>Mars 2026</t>
        </is>
      </c>
      <c r="C16" s="36" t="n">
        <v>11200000</v>
      </c>
      <c r="D16" s="36" t="n">
        <v>10450000</v>
      </c>
      <c r="E16" s="46" t="n">
        <v>-750000</v>
      </c>
      <c r="F16" s="47" t="n">
        <v>-0.07199999999999999</v>
      </c>
      <c r="G16" s="42" t="inlineStr">
        <is>
          <t>● Ugunstig</t>
        </is>
      </c>
      <c r="H16" s="35" t="inlineStr">
        <is>
          <t>Arbeidsgiveravgift</t>
        </is>
      </c>
      <c r="I16" s="40" t="inlineStr">
        <is>
          <t>Kommunal Skole</t>
        </is>
      </c>
      <c r="J16" s="36" t="n">
        <v>3785000</v>
      </c>
      <c r="K16" s="36" t="n">
        <v>4216000</v>
      </c>
      <c r="L16" s="41" t="n">
        <v>431000</v>
      </c>
      <c r="M16" s="42" t="inlineStr">
        <is>
          <t>🔴 Ugunstig</t>
        </is>
      </c>
    </row>
    <row r="17" ht="18" customHeight="1">
      <c r="B17" s="35" t="inlineStr">
        <is>
          <t>April 2026</t>
        </is>
      </c>
      <c r="C17" s="36" t="n">
        <v>10400000</v>
      </c>
      <c r="D17" s="36" t="n">
        <v>10500000</v>
      </c>
      <c r="E17" s="43" t="n">
        <v>100000</v>
      </c>
      <c r="F17" s="44" t="n">
        <v>0.01</v>
      </c>
      <c r="G17" s="45" t="inlineStr">
        <is>
          <t>● Toleranse</t>
        </is>
      </c>
      <c r="H17" s="35" t="inlineStr">
        <is>
          <t>Kjøp fra private / vikarbyrå</t>
        </is>
      </c>
      <c r="I17" s="40" t="inlineStr">
        <is>
          <t>Kommunal Boenhet</t>
        </is>
      </c>
      <c r="J17" s="36" t="n">
        <v>0</v>
      </c>
      <c r="K17" s="36" t="n">
        <v>382656</v>
      </c>
      <c r="L17" s="41" t="n">
        <v>382656</v>
      </c>
      <c r="M17" s="42" t="inlineStr">
        <is>
          <t>🔴 Ubudsjettert</t>
        </is>
      </c>
    </row>
    <row r="18" ht="18" customHeight="1">
      <c r="B18" s="35" t="inlineStr">
        <is>
          <t>Mai 2026</t>
        </is>
      </c>
      <c r="C18" s="36" t="n">
        <v>10600000</v>
      </c>
      <c r="D18" s="36" t="n">
        <v>10500000</v>
      </c>
      <c r="E18" s="43" t="n">
        <v>-100000</v>
      </c>
      <c r="F18" s="44" t="n">
        <v>-0.01</v>
      </c>
      <c r="G18" s="45" t="inlineStr">
        <is>
          <t>● Toleranse</t>
        </is>
      </c>
      <c r="H18" s="35" t="inlineStr">
        <is>
          <t>Overtidsgodtgjørelse</t>
        </is>
      </c>
      <c r="I18" s="40" t="inlineStr">
        <is>
          <t>Kommunal Skole</t>
        </is>
      </c>
      <c r="J18" s="36" t="n">
        <v>57000</v>
      </c>
      <c r="K18" s="36" t="n">
        <v>436000</v>
      </c>
      <c r="L18" s="41" t="n">
        <v>379000</v>
      </c>
      <c r="M18" s="42" t="inlineStr">
        <is>
          <t>🔴 Ugunstig</t>
        </is>
      </c>
    </row>
    <row r="19" ht="18" customHeight="1">
      <c r="B19" s="35" t="inlineStr">
        <is>
          <t>Juni 2026</t>
        </is>
      </c>
      <c r="C19" s="36" t="n">
        <v>11800000</v>
      </c>
      <c r="D19" s="36" t="n">
        <v>11000000</v>
      </c>
      <c r="E19" s="46" t="n">
        <v>-800000</v>
      </c>
      <c r="F19" s="47" t="n">
        <v>-0.073</v>
      </c>
      <c r="G19" s="42" t="inlineStr">
        <is>
          <t>● Ugunstig</t>
        </is>
      </c>
    </row>
    <row r="20" ht="18" customHeight="1">
      <c r="B20" s="35" t="inlineStr">
        <is>
          <t>Juli 2026</t>
        </is>
      </c>
      <c r="C20" s="36" t="n">
        <v>9100000</v>
      </c>
      <c r="D20" s="36" t="n">
        <v>9500000</v>
      </c>
      <c r="E20" s="37" t="n">
        <v>400000</v>
      </c>
      <c r="F20" s="38" t="n">
        <v>0.042</v>
      </c>
      <c r="G20" s="39" t="inlineStr">
        <is>
          <t>● Gunstig</t>
        </is>
      </c>
    </row>
    <row r="21" ht="18" customHeight="1">
      <c r="B21" s="35" t="inlineStr">
        <is>
          <t>August 2026</t>
        </is>
      </c>
      <c r="C21" s="36" t="n">
        <v>10406244</v>
      </c>
      <c r="D21" s="36" t="n">
        <v>11480572</v>
      </c>
      <c r="E21" s="37" t="n">
        <v>1074328</v>
      </c>
      <c r="F21" s="38" t="n">
        <v>0.094</v>
      </c>
      <c r="G21" s="39" t="inlineStr">
        <is>
          <t>● Gunstig</t>
        </is>
      </c>
    </row>
    <row r="23">
      <c r="B23" s="48" t="inlineStr">
        <is>
          <t>ℹ️ FORTEGNSLOGIKK &amp; METODEFORKLARING (EDWARD TUFTE STANDARD):
• Avvik er strengt definert som: Avvik = Budsjett - Regnskap. For utgifter betyr positivt tall at kommunen har brukt MINDRE enn budsjett (gunstig / mindreforbruk = Grønt).
• Negativt tall betyr at utgiftene overstiger budsjettet (ugunstig / merforbruk = Rødt). Toleransebåndet er satt til ± 2,0 % (Gult).
• Alle datagrunnlag stammer fra SQLite Golden Record og er kryptografisk forseglet iht. Stage-Gate Port 9 for Kommunerevisjonen.</t>
        </is>
      </c>
      <c r="C23" s="31" t="n"/>
      <c r="D23" s="31" t="n"/>
      <c r="E23" s="31" t="n"/>
      <c r="F23" s="31" t="n"/>
      <c r="G23" s="31" t="n"/>
      <c r="H23" s="31" t="n"/>
      <c r="I23" s="31" t="n"/>
      <c r="J23" s="31" t="n"/>
      <c r="K23" s="31" t="n"/>
      <c r="L23" s="31" t="n"/>
      <c r="M23" s="31" t="n"/>
    </row>
    <row r="24">
      <c r="B24" s="31" t="n"/>
      <c r="C24" s="31" t="n"/>
      <c r="D24" s="31" t="n"/>
      <c r="E24" s="31" t="n"/>
      <c r="F24" s="31" t="n"/>
      <c r="G24" s="31" t="n"/>
      <c r="H24" s="31" t="n"/>
      <c r="I24" s="31" t="n"/>
      <c r="J24" s="31" t="n"/>
      <c r="K24" s="31" t="n"/>
      <c r="L24" s="31" t="n"/>
      <c r="M24" s="31" t="n"/>
    </row>
    <row r="25">
      <c r="B25" s="31" t="n"/>
      <c r="C25" s="31" t="n"/>
      <c r="D25" s="31" t="n"/>
      <c r="E25" s="31" t="n"/>
      <c r="F25" s="31" t="n"/>
      <c r="G25" s="31" t="n"/>
      <c r="H25" s="31" t="n"/>
      <c r="I25" s="31" t="n"/>
      <c r="J25" s="31" t="n"/>
      <c r="K25" s="31" t="n"/>
      <c r="L25" s="31" t="n"/>
      <c r="M25" s="31" t="n"/>
    </row>
  </sheetData>
  <mergeCells count="18">
    <mergeCell ref="B2:M2"/>
    <mergeCell ref="B5:D5"/>
    <mergeCell ref="H12:M12"/>
    <mergeCell ref="B3:M3"/>
    <mergeCell ref="E7:G7"/>
    <mergeCell ref="E5:G5"/>
    <mergeCell ref="K5:M5"/>
    <mergeCell ref="H5:J5"/>
    <mergeCell ref="K6:M6"/>
    <mergeCell ref="B9:M10"/>
    <mergeCell ref="B23:M25"/>
    <mergeCell ref="B12:G12"/>
    <mergeCell ref="H7:J7"/>
    <mergeCell ref="B7:D7"/>
    <mergeCell ref="B6:D6"/>
    <mergeCell ref="K7:M7"/>
    <mergeCell ref="E6:G6"/>
    <mergeCell ref="H6:J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14"/>
  <sheetViews>
    <sheetView showGridLines="0"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2" ht="28" customHeight="1">
      <c r="B2" s="1" t="inlineStr">
        <is>
          <t xml:space="preserve">  SEKTORDASHBORD: OPPVEKST OG UTDANNING (ENHET 202 GRUNNSKOLE)  |  Rektor &amp; Kommunalsjef</t>
        </is>
      </c>
    </row>
    <row r="4" ht="18" customHeight="1">
      <c r="B4" s="18" t="inlineStr">
        <is>
          <t>FORBRUK YTD (AC)</t>
        </is>
      </c>
      <c r="C4" s="19" t="n"/>
      <c r="D4" s="19" t="n"/>
      <c r="E4" s="22" t="inlineStr">
        <is>
          <t>AVVIK YTD (CV)</t>
        </is>
      </c>
      <c r="F4" s="23" t="n"/>
      <c r="G4" s="23" t="n"/>
      <c r="H4" s="22" t="inlineStr">
        <is>
          <t>VIKARANDEL LØNN</t>
        </is>
      </c>
      <c r="I4" s="23" t="n"/>
      <c r="J4" s="23" t="n"/>
    </row>
    <row r="5" ht="28" customHeight="1">
      <c r="B5" s="24" t="n">
        <v>36080000</v>
      </c>
      <c r="C5" s="19" t="n"/>
      <c r="D5" s="19" t="n"/>
      <c r="E5" s="26" t="n">
        <v>-4097000</v>
      </c>
      <c r="F5" s="23" t="n"/>
      <c r="G5" s="23" t="n"/>
      <c r="H5" s="49" t="n">
        <v>0.046</v>
      </c>
      <c r="I5" s="23" t="n"/>
      <c r="J5" s="23" t="n"/>
    </row>
    <row r="6" ht="18" customHeight="1">
      <c r="B6" s="27" t="inlineStr">
        <is>
          <t>Grunnskoler samlet</t>
        </is>
      </c>
      <c r="C6" s="19" t="n"/>
      <c r="D6" s="19" t="n"/>
      <c r="E6" s="29" t="inlineStr">
        <is>
          <t>● Merforbruk (-12.8 %)</t>
        </is>
      </c>
      <c r="F6" s="23" t="n"/>
      <c r="G6" s="23" t="n"/>
      <c r="H6" s="29" t="inlineStr">
        <is>
          <t>Mål: &lt; 4.0 % (Over tak)</t>
        </is>
      </c>
      <c r="I6" s="23" t="n"/>
      <c r="J6" s="23" t="n"/>
    </row>
    <row r="8">
      <c r="B8" s="32" t="inlineStr">
        <is>
          <t>KOSTRA FUNKSJONSOVERSIKT — OPPVEKST OG UTDANNING</t>
        </is>
      </c>
    </row>
    <row r="9" ht="20" customHeight="1">
      <c r="B9" s="33" t="inlineStr">
        <is>
          <t>Funksjon</t>
        </is>
      </c>
      <c r="C9" s="33" t="inlineStr">
        <is>
          <t>Betegnelse</t>
        </is>
      </c>
      <c r="D9" s="34" t="inlineStr">
        <is>
          <t>Budsjett YTD</t>
        </is>
      </c>
      <c r="E9" s="34" t="inlineStr">
        <is>
          <t>Regnskap YTD</t>
        </is>
      </c>
      <c r="F9" s="34" t="inlineStr">
        <is>
          <t>Avvik (NOK)</t>
        </is>
      </c>
      <c r="G9" s="34" t="inlineStr">
        <is>
          <t>Avvik %</t>
        </is>
      </c>
      <c r="H9" s="33" t="inlineStr">
        <is>
          <t>Status</t>
        </is>
      </c>
      <c r="I9" s="33" t="inlineStr">
        <is>
          <t>Tiltaksbehov</t>
        </is>
      </c>
    </row>
    <row r="10" ht="18" customHeight="1">
      <c r="B10" s="50" t="inlineStr">
        <is>
          <t>202</t>
        </is>
      </c>
      <c r="C10" s="50" t="inlineStr">
        <is>
          <t>Grunnskoleopplæring</t>
        </is>
      </c>
      <c r="D10" s="51" t="n">
        <v>27800000</v>
      </c>
      <c r="E10" s="51" t="n">
        <v>31400000</v>
      </c>
      <c r="F10" s="46" t="n">
        <v>-3600000</v>
      </c>
      <c r="G10" s="52" t="n">
        <v>-0.129</v>
      </c>
      <c r="H10" s="50" t="inlineStr">
        <is>
          <t>🔴 Merforbruk</t>
        </is>
      </c>
      <c r="I10" s="50" t="inlineStr">
        <is>
          <t>Vikarstopp &lt; 3 dager innført</t>
        </is>
      </c>
    </row>
    <row r="11" ht="18" customHeight="1">
      <c r="B11" s="50" t="inlineStr">
        <is>
          <t>203</t>
        </is>
      </c>
      <c r="C11" s="50" t="inlineStr">
        <is>
          <t>Særskilt tilrettelagt opplæring</t>
        </is>
      </c>
      <c r="D11" s="51" t="n">
        <v>2500000</v>
      </c>
      <c r="E11" s="51" t="n">
        <v>2750000</v>
      </c>
      <c r="F11" s="46" t="n">
        <v>-250000</v>
      </c>
      <c r="G11" s="52" t="n">
        <v>-0.1</v>
      </c>
      <c r="H11" s="50" t="inlineStr">
        <is>
          <t>🔴 Merforbruk</t>
        </is>
      </c>
      <c r="I11" s="50" t="inlineStr">
        <is>
          <t>Ressursteam koordinering</t>
        </is>
      </c>
    </row>
    <row r="12" ht="18" customHeight="1">
      <c r="B12" s="50" t="inlineStr">
        <is>
          <t>204</t>
        </is>
      </c>
      <c r="C12" s="50" t="inlineStr">
        <is>
          <t>Skolefritidsordning (SFO)</t>
        </is>
      </c>
      <c r="D12" s="51" t="n">
        <v>1200000</v>
      </c>
      <c r="E12" s="51" t="n">
        <v>1180000</v>
      </c>
      <c r="F12" s="37" t="n">
        <v>20000</v>
      </c>
      <c r="G12" s="52" t="n">
        <v>0.017</v>
      </c>
      <c r="H12" s="50" t="inlineStr">
        <is>
          <t>🟢 Gunstig</t>
        </is>
      </c>
      <c r="I12" s="50" t="inlineStr">
        <is>
          <t>I rute jf. foreldrebetaling</t>
        </is>
      </c>
    </row>
    <row r="13" ht="18" customHeight="1">
      <c r="B13" s="50" t="inlineStr">
        <is>
          <t>214</t>
        </is>
      </c>
      <c r="C13" s="50" t="inlineStr">
        <is>
          <t>Skoleskyss</t>
        </is>
      </c>
      <c r="D13" s="51" t="n">
        <v>1400000</v>
      </c>
      <c r="E13" s="51" t="n">
        <v>1620000</v>
      </c>
      <c r="F13" s="46" t="n">
        <v>-220000</v>
      </c>
      <c r="G13" s="52" t="n">
        <v>-0.157</v>
      </c>
      <c r="H13" s="50" t="inlineStr">
        <is>
          <t>🔴 Merforbruk</t>
        </is>
      </c>
      <c r="I13" s="50" t="inlineStr">
        <is>
          <t>Ruteoptimalisering AKT</t>
        </is>
      </c>
    </row>
    <row r="14" ht="18" customHeight="1">
      <c r="B14" s="50" t="inlineStr">
        <is>
          <t>223</t>
        </is>
      </c>
      <c r="C14" s="50" t="inlineStr">
        <is>
          <t>Spesialpedagogisk hjelp barnehage</t>
        </is>
      </c>
      <c r="D14" s="51" t="n">
        <v>1083000</v>
      </c>
      <c r="E14" s="51" t="n">
        <v>1130000</v>
      </c>
      <c r="F14" s="46" t="n">
        <v>-47000</v>
      </c>
      <c r="G14" s="52" t="n">
        <v>-0.043</v>
      </c>
      <c r="H14" s="50" t="inlineStr">
        <is>
          <t>🟡 Toleranse</t>
        </is>
      </c>
      <c r="I14" s="50" t="inlineStr">
        <is>
          <t>Oppfølging bemanningsplan</t>
        </is>
      </c>
    </row>
  </sheetData>
  <mergeCells count="11">
    <mergeCell ref="B5:D5"/>
    <mergeCell ref="E5:G5"/>
    <mergeCell ref="H5:J5"/>
    <mergeCell ref="B4:D4"/>
    <mergeCell ref="H4:J4"/>
    <mergeCell ref="E4:G4"/>
    <mergeCell ref="B8:J8"/>
    <mergeCell ref="B6:D6"/>
    <mergeCell ref="E6:G6"/>
    <mergeCell ref="B2:J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J14"/>
  <sheetViews>
    <sheetView showGridLines="0" workbookViewId="0">
      <selection activeCell="A1" sqref="A1"/>
    </sheetView>
  </sheetViews>
  <sheetFormatPr baseColWidth="8" defaultRowHeight="15"/>
  <cols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2" ht="28" customHeight="1">
      <c r="B2" s="1" t="inlineStr">
        <is>
          <t xml:space="preserve">  SEKTORDASHBORD: HELSE OG MESTRING (ENHET 254 KOMMUNAL BOENHET)  |  Kommunalsjef Helse</t>
        </is>
      </c>
    </row>
    <row r="4" ht="18" customHeight="1">
      <c r="B4" s="18" t="inlineStr">
        <is>
          <t>FORBRUK YTD (AC)</t>
        </is>
      </c>
      <c r="C4" s="19" t="n"/>
      <c r="D4" s="19" t="n"/>
      <c r="E4" s="22" t="inlineStr">
        <is>
          <t>AVVIK YTD (CV)</t>
        </is>
      </c>
      <c r="F4" s="23" t="n"/>
      <c r="G4" s="23" t="n"/>
      <c r="H4" s="22" t="inlineStr">
        <is>
          <t>OVERTIDSANDEL</t>
        </is>
      </c>
      <c r="I4" s="23" t="n"/>
      <c r="J4" s="23" t="n"/>
    </row>
    <row r="5" ht="28" customHeight="1">
      <c r="B5" s="24" t="n">
        <v>47426244</v>
      </c>
      <c r="C5" s="19" t="n"/>
      <c r="D5" s="19" t="n"/>
      <c r="E5" s="26" t="n">
        <v>-7775460</v>
      </c>
      <c r="F5" s="23" t="n"/>
      <c r="G5" s="23" t="n"/>
      <c r="H5" s="49" t="n">
        <v>0.068</v>
      </c>
      <c r="I5" s="23" t="n"/>
      <c r="J5" s="23" t="n"/>
    </row>
    <row r="6" ht="18" customHeight="1">
      <c r="B6" s="27" t="inlineStr">
        <is>
          <t>Heldøgns omsorg per 31.08</t>
        </is>
      </c>
      <c r="C6" s="19" t="n"/>
      <c r="D6" s="19" t="n"/>
      <c r="E6" s="29" t="inlineStr">
        <is>
          <t>● Merforbruk (-19.6 %)</t>
        </is>
      </c>
      <c r="F6" s="23" t="n"/>
      <c r="G6" s="23" t="n"/>
      <c r="H6" s="29" t="inlineStr">
        <is>
          <t>Tak: 5.0 % (HTA § 4 drøftet)</t>
        </is>
      </c>
      <c r="I6" s="23" t="n"/>
      <c r="J6" s="23" t="n"/>
    </row>
    <row r="8">
      <c r="B8" s="32" t="inlineStr">
        <is>
          <t>DRIFTSOVERSIKT — HELSE OG MESTRING (BO OG MILJØ)</t>
        </is>
      </c>
    </row>
    <row r="9" ht="20" customHeight="1">
      <c r="B9" s="33" t="inlineStr">
        <is>
          <t>Funksjon/Art</t>
        </is>
      </c>
      <c r="C9" s="33" t="inlineStr">
        <is>
          <t>Betegnelse</t>
        </is>
      </c>
      <c r="D9" s="34" t="inlineStr">
        <is>
          <t>Budsjett YTD</t>
        </is>
      </c>
      <c r="E9" s="34" t="inlineStr">
        <is>
          <t>Regnskap YTD</t>
        </is>
      </c>
      <c r="F9" s="34" t="inlineStr">
        <is>
          <t>Avvik (NOK)</t>
        </is>
      </c>
      <c r="G9" s="34" t="inlineStr">
        <is>
          <t>Avvik %</t>
        </is>
      </c>
      <c r="H9" s="33" t="inlineStr">
        <is>
          <t>Risikovurdering</t>
        </is>
      </c>
    </row>
    <row r="10" ht="18" customHeight="1">
      <c r="B10" s="50" t="inlineStr">
        <is>
          <t>254.1010</t>
        </is>
      </c>
      <c r="C10" s="50" t="inlineStr">
        <is>
          <t>Fastlønn turnuspersonell</t>
        </is>
      </c>
      <c r="D10" s="51" t="n">
        <v>24500000</v>
      </c>
      <c r="E10" s="51" t="n">
        <v>27800000</v>
      </c>
      <c r="F10" s="46" t="n">
        <v>-3300000</v>
      </c>
      <c r="G10" s="52" t="n">
        <v>-0.135</v>
      </c>
      <c r="H10" s="50" t="inlineStr">
        <is>
          <t>🔴 Merforbruk turnus</t>
        </is>
      </c>
    </row>
    <row r="11" ht="18" customHeight="1">
      <c r="B11" s="50" t="inlineStr">
        <is>
          <t>254.1020</t>
        </is>
      </c>
      <c r="C11" s="50" t="inlineStr">
        <is>
          <t>Sykefraværsvikarer</t>
        </is>
      </c>
      <c r="D11" s="51" t="n">
        <v>4200000</v>
      </c>
      <c r="E11" s="51" t="n">
        <v>6850000</v>
      </c>
      <c r="F11" s="46" t="n">
        <v>-2650000</v>
      </c>
      <c r="G11" s="52" t="n">
        <v>-0.631</v>
      </c>
      <c r="H11" s="50" t="inlineStr">
        <is>
          <t>🔴 Kritisk høyt fravær (11.2%)</t>
        </is>
      </c>
    </row>
    <row r="12" ht="18" customHeight="1">
      <c r="B12" s="50" t="inlineStr">
        <is>
          <t>254.1090</t>
        </is>
      </c>
      <c r="C12" s="50" t="inlineStr">
        <is>
          <t>Overtid og ubekvemstillegg</t>
        </is>
      </c>
      <c r="D12" s="51" t="n">
        <v>2100000</v>
      </c>
      <c r="E12" s="51" t="n">
        <v>3420000</v>
      </c>
      <c r="F12" s="46" t="n">
        <v>-1320000</v>
      </c>
      <c r="G12" s="52" t="n">
        <v>-0.629</v>
      </c>
      <c r="H12" s="50" t="inlineStr">
        <is>
          <t>🔴 HTA § 4 drøfting nødvendig</t>
        </is>
      </c>
    </row>
    <row r="13" ht="18" customHeight="1">
      <c r="B13" s="50" t="inlineStr">
        <is>
          <t>254.1270</t>
        </is>
      </c>
      <c r="C13" s="50" t="inlineStr">
        <is>
          <t>Privat innleie helsefagarbeidere</t>
        </is>
      </c>
      <c r="D13" s="51" t="n">
        <v>0</v>
      </c>
      <c r="E13" s="51" t="n">
        <v>382656</v>
      </c>
      <c r="F13" s="46" t="n">
        <v>-382656</v>
      </c>
      <c r="G13" s="52" t="n">
        <v>-1</v>
      </c>
      <c r="H13" s="50" t="inlineStr">
        <is>
          <t>🔴 Ubudsjettert byråinnleie</t>
        </is>
      </c>
    </row>
    <row r="14" ht="18" customHeight="1">
      <c r="B14" s="50" t="inlineStr">
        <is>
          <t>254.1690</t>
        </is>
      </c>
      <c r="C14" s="50" t="inlineStr">
        <is>
          <t>Refusjon sykepenger NAV</t>
        </is>
      </c>
      <c r="D14" s="51" t="n">
        <v>-3500000</v>
      </c>
      <c r="E14" s="51" t="n">
        <v>-2980000</v>
      </c>
      <c r="F14" s="46" t="n">
        <v>-520000</v>
      </c>
      <c r="G14" s="52" t="n">
        <v>-0.149</v>
      </c>
      <c r="H14" s="50" t="inlineStr">
        <is>
          <t>🟡 Etterslep refusjonskrav</t>
        </is>
      </c>
    </row>
  </sheetData>
  <mergeCells count="11">
    <mergeCell ref="B5:D5"/>
    <mergeCell ref="E5:G5"/>
    <mergeCell ref="H5:J5"/>
    <mergeCell ref="B4:D4"/>
    <mergeCell ref="H4:J4"/>
    <mergeCell ref="E4:G4"/>
    <mergeCell ref="B8:J8"/>
    <mergeCell ref="B6:D6"/>
    <mergeCell ref="E6:G6"/>
    <mergeCell ref="B2:J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J14"/>
  <sheetViews>
    <sheetView showGridLines="0" workbookViewId="0">
      <selection activeCell="A1" sqref="A1"/>
    </sheetView>
  </sheetViews>
  <sheetFormatPr baseColWidth="8" defaultRowHeight="15"/>
  <cols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2" ht="28" customHeight="1">
      <c r="B2" s="1" t="inlineStr">
        <is>
          <t xml:space="preserve">  PERSONALKONTROLL: LØNN, OVERTID, VIKARBRUK OG NAV-REFUSJONER  |  HR &amp; Økonomisjef</t>
        </is>
      </c>
    </row>
    <row r="4" ht="18" customHeight="1">
      <c r="B4" s="18" t="inlineStr">
        <is>
          <t>SAMLET LØNNSKOSTNAD</t>
        </is>
      </c>
      <c r="C4" s="19" t="n"/>
      <c r="D4" s="19" t="n"/>
      <c r="E4" s="22" t="inlineStr">
        <is>
          <t>VIKARFORBRUK YTD</t>
        </is>
      </c>
      <c r="F4" s="23" t="n"/>
      <c r="G4" s="23" t="n"/>
      <c r="H4" s="20" t="inlineStr">
        <is>
          <t>NAV REFUSJON YTD</t>
        </is>
      </c>
      <c r="I4" s="21" t="n"/>
      <c r="J4" s="21" t="n"/>
    </row>
    <row r="5" ht="28" customHeight="1">
      <c r="B5" s="24" t="n">
        <v>58420000</v>
      </c>
      <c r="C5" s="19" t="n"/>
      <c r="D5" s="19" t="n"/>
      <c r="E5" s="53" t="n">
        <v>7697000</v>
      </c>
      <c r="F5" s="23" t="n"/>
      <c r="G5" s="23" t="n"/>
      <c r="H5" s="54" t="n">
        <v>4210000</v>
      </c>
      <c r="I5" s="21" t="n"/>
      <c r="J5" s="21" t="n"/>
    </row>
    <row r="6" ht="18" customHeight="1">
      <c r="B6" s="27" t="inlineStr">
        <is>
          <t>Art 1010-1090 samlet</t>
        </is>
      </c>
      <c r="C6" s="19" t="n"/>
      <c r="D6" s="19" t="n"/>
      <c r="E6" s="29" t="inlineStr">
        <is>
          <t>Art 1020 + 1270</t>
        </is>
      </c>
      <c r="F6" s="23" t="n"/>
      <c r="G6" s="23" t="n"/>
      <c r="H6" s="28" t="inlineStr">
        <is>
          <t>Art 1690 mottatt</t>
        </is>
      </c>
      <c r="I6" s="21" t="n"/>
      <c r="J6" s="21" t="n"/>
    </row>
    <row r="8">
      <c r="B8" s="32" t="inlineStr">
        <is>
          <t>LØNNSSTRUKTUR OG VIKARDELING PER SEKTOR (TUFTE STANDARD)</t>
        </is>
      </c>
    </row>
    <row r="9">
      <c r="B9" s="33" t="inlineStr">
        <is>
          <t>Lønnsart</t>
        </is>
      </c>
      <c r="C9" s="33" t="inlineStr">
        <is>
          <t>Betegnelse</t>
        </is>
      </c>
      <c r="D9" s="34" t="inlineStr">
        <is>
          <t>Oppvekst (NOK)</t>
        </is>
      </c>
      <c r="E9" s="34" t="inlineStr">
        <is>
          <t>Helse (NOK)</t>
        </is>
      </c>
      <c r="F9" s="34" t="inlineStr">
        <is>
          <t>Totalt Konsern</t>
        </is>
      </c>
      <c r="G9" s="34" t="inlineStr">
        <is>
          <t>Andel %</t>
        </is>
      </c>
      <c r="H9" s="33" t="inlineStr">
        <is>
          <t>Måltall / Tak</t>
        </is>
      </c>
    </row>
    <row r="10" ht="18" customHeight="1">
      <c r="B10" s="50" t="inlineStr">
        <is>
          <t>1010</t>
        </is>
      </c>
      <c r="C10" s="50" t="inlineStr">
        <is>
          <t>Fastlønn ordinære stillinger</t>
        </is>
      </c>
      <c r="D10" s="51" t="n">
        <v>22413000</v>
      </c>
      <c r="E10" s="51" t="n">
        <v>27800000</v>
      </c>
      <c r="F10" s="51" t="n">
        <v>50213000</v>
      </c>
      <c r="G10" s="52" t="n">
        <v>0.859</v>
      </c>
      <c r="H10" s="50" t="inlineStr">
        <is>
          <t>85-90 %</t>
        </is>
      </c>
    </row>
    <row r="11" ht="18" customHeight="1">
      <c r="B11" s="50" t="inlineStr">
        <is>
          <t>1020</t>
        </is>
      </c>
      <c r="C11" s="50" t="inlineStr">
        <is>
          <t>Sykefraværsvikarer (timelønn)</t>
        </is>
      </c>
      <c r="D11" s="51" t="n">
        <v>847000</v>
      </c>
      <c r="E11" s="51" t="n">
        <v>6850000</v>
      </c>
      <c r="F11" s="51" t="n">
        <v>7697000</v>
      </c>
      <c r="G11" s="52" t="n">
        <v>0.132</v>
      </c>
      <c r="H11" s="50" t="inlineStr">
        <is>
          <t>&lt; 5.0 % (Avvik!)</t>
        </is>
      </c>
    </row>
    <row r="12" ht="18" customHeight="1">
      <c r="B12" s="50" t="inlineStr">
        <is>
          <t>1090</t>
        </is>
      </c>
      <c r="C12" s="50" t="inlineStr">
        <is>
          <t>Overtid og merarbeid</t>
        </is>
      </c>
      <c r="D12" s="51" t="n">
        <v>436000</v>
      </c>
      <c r="E12" s="51" t="n">
        <v>3420000</v>
      </c>
      <c r="F12" s="51" t="n">
        <v>3856000</v>
      </c>
      <c r="G12" s="52" t="n">
        <v>0.066</v>
      </c>
      <c r="H12" s="50" t="inlineStr">
        <is>
          <t>&lt; 3.0 % (Avvik!)</t>
        </is>
      </c>
    </row>
    <row r="13" ht="18" customHeight="1">
      <c r="B13" s="50" t="inlineStr">
        <is>
          <t>1270</t>
        </is>
      </c>
      <c r="C13" s="50" t="inlineStr">
        <is>
          <t>Innleie fra vikarbyrå</t>
        </is>
      </c>
      <c r="D13" s="51" t="n">
        <v>0</v>
      </c>
      <c r="E13" s="51" t="n">
        <v>382656</v>
      </c>
      <c r="F13" s="51" t="n">
        <v>382656</v>
      </c>
      <c r="G13" s="52" t="n">
        <v>0.007</v>
      </c>
      <c r="H13" s="50" t="inlineStr">
        <is>
          <t>0 kr (Ubudsjettert)</t>
        </is>
      </c>
    </row>
    <row r="14" ht="18" customHeight="1">
      <c r="B14" s="50" t="inlineStr">
        <is>
          <t>1690</t>
        </is>
      </c>
      <c r="C14" s="50" t="inlineStr">
        <is>
          <t>NAV refusjon sykepenger</t>
        </is>
      </c>
      <c r="D14" s="51" t="n">
        <v>-1230000</v>
      </c>
      <c r="E14" s="51" t="n">
        <v>-2980000</v>
      </c>
      <c r="F14" s="51" t="n">
        <v>-4210000</v>
      </c>
      <c r="G14" s="52" t="n">
        <v>-0.07199999999999999</v>
      </c>
      <c r="H14" s="50" t="inlineStr">
        <is>
          <t>100 % inndekning</t>
        </is>
      </c>
    </row>
  </sheetData>
  <mergeCells count="11">
    <mergeCell ref="B8:H8"/>
    <mergeCell ref="B5:D5"/>
    <mergeCell ref="E5:G5"/>
    <mergeCell ref="H5:J5"/>
    <mergeCell ref="B4:D4"/>
    <mergeCell ref="H4:J4"/>
    <mergeCell ref="E4:G4"/>
    <mergeCell ref="B6:D6"/>
    <mergeCell ref="E6:G6"/>
    <mergeCell ref="B2:J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I20"/>
  <sheetViews>
    <sheetView showGridLines="1" workbookViewId="0">
      <selection activeCell="A1" sqref="A1"/>
    </sheetView>
  </sheetViews>
  <sheetFormatPr baseColWidth="8" defaultRowHeight="15"/>
  <cols>
    <col width="38" customWidth="1" min="2" max="2"/>
    <col width="22" customWidth="1" min="3" max="3"/>
    <col width="24" customWidth="1" min="4" max="4"/>
    <col width="36" customWidth="1" min="5" max="5"/>
  </cols>
  <sheetData>
    <row r="2" ht="28" customHeight="1">
      <c r="B2" s="1" t="inlineStr">
        <is>
          <t xml:space="preserve">  06_PROGNOSE_SCENARIO: INTERAKTIV WHAT-IF SCENARIOMODELL &amp; WATERFALL  |  Simulering</t>
        </is>
      </c>
    </row>
    <row r="4">
      <c r="B4" s="55" t="inlineStr">
        <is>
          <t>BRUKERSTYRTE SCENARIOFORUTSETNINGER (JUSTERBARE VERDIER)</t>
        </is>
      </c>
    </row>
    <row r="5" ht="20" customHeight="1">
      <c r="B5" s="56" t="inlineStr">
        <is>
          <t>Parameter</t>
        </is>
      </c>
      <c r="C5" s="56" t="inlineStr">
        <is>
          <t>Verdi</t>
        </is>
      </c>
      <c r="D5" s="56" t="inlineStr">
        <is>
          <t>Enhet</t>
        </is>
      </c>
      <c r="E5" s="56" t="inlineStr">
        <is>
          <t>Effekt på EOY-prognose</t>
        </is>
      </c>
    </row>
    <row r="6" ht="20" customHeight="1">
      <c r="B6" s="14" t="inlineStr">
        <is>
          <t>Lønnsdeflator ekstraordinær</t>
        </is>
      </c>
      <c r="C6" s="12" t="n">
        <v>0.023</v>
      </c>
      <c r="D6" s="13" t="inlineStr">
        <is>
          <t>Prosent</t>
        </is>
      </c>
      <c r="E6" s="14" t="inlineStr">
        <is>
          <t>Øker gjenstående lønnskostnader med 2.3 %</t>
        </is>
      </c>
    </row>
    <row r="7" ht="20" customHeight="1">
      <c r="B7" s="14" t="inlineStr">
        <is>
          <t>Tiltak 1: Vikarstopp &lt; 3 dager (Skole)</t>
        </is>
      </c>
      <c r="C7" s="15" t="n">
        <v>-1700000</v>
      </c>
      <c r="D7" s="13" t="inlineStr">
        <is>
          <t>NOK</t>
        </is>
      </c>
      <c r="E7" s="14" t="inlineStr">
        <is>
          <t>Månedlig innsparing ut året (4 mnd * 425k)</t>
        </is>
      </c>
    </row>
    <row r="8" ht="20" customHeight="1">
      <c r="B8" s="14" t="inlineStr">
        <is>
          <t>Tiltak 2: Langvakter og overtidstak (Helse)</t>
        </is>
      </c>
      <c r="C8" s="15" t="n">
        <v>-2400000</v>
      </c>
      <c r="D8" s="13" t="inlineStr">
        <is>
          <t>NOK</t>
        </is>
      </c>
      <c r="E8" s="14" t="inlineStr">
        <is>
          <t>Reduserer overtid på døgnposter iht. HTA § 4</t>
        </is>
      </c>
    </row>
    <row r="9" ht="20" customHeight="1">
      <c r="B9" s="14" t="inlineStr">
        <is>
          <t>Tiltak 3: NAV Refusjon inndriving</t>
        </is>
      </c>
      <c r="C9" s="15" t="n">
        <v>-1200000</v>
      </c>
      <c r="D9" s="13" t="inlineStr">
        <is>
          <t>NOK</t>
        </is>
      </c>
      <c r="E9" s="14" t="inlineStr">
        <is>
          <t>Ekstraordinær purring på etterslep NAV-krav</t>
        </is>
      </c>
    </row>
    <row r="10" ht="20" customHeight="1">
      <c r="B10" s="14" t="inlineStr">
        <is>
          <t>Renterisiko likviditetstrekk</t>
        </is>
      </c>
      <c r="C10" s="12" t="n">
        <v>0.004</v>
      </c>
      <c r="D10" s="13" t="inlineStr">
        <is>
          <t>Prosent</t>
        </is>
      </c>
      <c r="E10" s="14" t="inlineStr">
        <is>
          <t>Renteøkning på kommunens kassekreditt</t>
        </is>
      </c>
    </row>
    <row r="13">
      <c r="B13" s="55" t="inlineStr">
        <is>
          <t>SCENARIO OUTPUT &amp; WATERFALL BRIDGE (NOK)</t>
        </is>
      </c>
    </row>
    <row r="14" ht="20" customHeight="1">
      <c r="B14" s="56" t="inlineStr">
        <is>
          <t>Komponent i Avstemmingsbro</t>
        </is>
      </c>
      <c r="C14" s="56" t="inlineStr">
        <is>
          <t>Beløp (NOK)</t>
        </is>
      </c>
      <c r="D14" s="56" t="inlineStr">
        <is>
          <t>Akkumulert Sluttkostnad</t>
        </is>
      </c>
      <c r="E14" s="56" t="inlineStr">
        <is>
          <t>Status / Hjemmel</t>
        </is>
      </c>
    </row>
    <row r="15" ht="20" customHeight="1">
      <c r="B15" s="57" t="inlineStr">
        <is>
          <t>Opprinnelig Vedtatt Årsbudsjett (BAC)</t>
        </is>
      </c>
      <c r="C15" s="58" t="n">
        <v>83930572</v>
      </c>
      <c r="D15" s="58" t="n">
        <v>83930572</v>
      </c>
      <c r="E15" s="59" t="inlineStr">
        <is>
          <t>Bystyrets vedtatte ramme</t>
        </is>
      </c>
    </row>
    <row r="16" ht="20" customHeight="1">
      <c r="B16" s="60" t="inlineStr">
        <is>
          <t>Baseline Estimat før tiltak (p50 Monte Carlo)</t>
        </is>
      </c>
      <c r="C16" s="58" t="n">
        <v>32306652</v>
      </c>
      <c r="D16" s="58" t="n">
        <v>116237224</v>
      </c>
      <c r="E16" s="59" t="inlineStr">
        <is>
          <t>Simulert helårsmerforbruk</t>
        </is>
      </c>
    </row>
    <row r="17" ht="20" customHeight="1">
      <c r="B17" s="60" t="inlineStr">
        <is>
          <t>Tiltak 1: Vikarstopp Grunnskole</t>
        </is>
      </c>
      <c r="C17" s="58" t="n">
        <v>-1700000</v>
      </c>
      <c r="D17" s="58" t="n">
        <v>114537224</v>
      </c>
      <c r="E17" s="59" t="inlineStr">
        <is>
          <t>Administrativt vedtak K-sjef</t>
        </is>
      </c>
    </row>
    <row r="18" ht="20" customHeight="1">
      <c r="B18" s="60" t="inlineStr">
        <is>
          <t>Tiltak 2: Turnusoptimalisering Helse</t>
        </is>
      </c>
      <c r="C18" s="58" t="n">
        <v>-2400000</v>
      </c>
      <c r="D18" s="58" t="n">
        <v>112137224</v>
      </c>
      <c r="E18" s="59" t="inlineStr">
        <is>
          <t>HTA § 4 drøftingsprotokoll</t>
        </is>
      </c>
    </row>
    <row r="19" ht="20" customHeight="1">
      <c r="B19" s="60" t="inlineStr">
        <is>
          <t>Tiltak 3: NAV Refusjonsinnhenting</t>
        </is>
      </c>
      <c r="C19" s="58" t="n">
        <v>-1200000</v>
      </c>
      <c r="D19" s="58" t="n">
        <v>110937224</v>
      </c>
      <c r="E19" s="59" t="inlineStr">
        <is>
          <t>Aktiv purring saksbehandling</t>
        </is>
      </c>
    </row>
    <row r="20" ht="20" customHeight="1">
      <c r="B20" s="61" t="inlineStr">
        <is>
          <t>Simulert Sluttresultat etter Tiltak (EOY)</t>
        </is>
      </c>
      <c r="C20" s="62" t="n">
        <v>26978652</v>
      </c>
      <c r="D20" s="62" t="n">
        <v>110937224</v>
      </c>
      <c r="E20" s="63" t="inlineStr">
        <is>
          <t>Obligatorisk sak jf. § 14-5</t>
        </is>
      </c>
    </row>
  </sheetData>
  <mergeCells count="1">
    <mergeCell ref="B2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L12"/>
  <sheetViews>
    <sheetView showGridLines="0" workbookViewId="0">
      <selection activeCell="A1" sqref="A1"/>
    </sheetView>
  </sheetViews>
  <sheetFormatPr baseColWidth="8" defaultRowHeight="15"/>
  <cols>
    <col width="18" customWidth="1" min="2" max="2"/>
    <col width="24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2" ht="28" customHeight="1">
      <c r="B2" s="1" t="inlineStr">
        <is>
          <t xml:space="preserve">  07_EVM: PROJECT CONTROLLING &amp; INVESTERINGSPROSJEKTER (ISO 21508 / KS2)  |  Capex</t>
        </is>
      </c>
    </row>
    <row r="4" ht="18" customHeight="1">
      <c r="B4" s="18" t="inlineStr">
        <is>
          <t>SAMLET PROSJEKTPORTEFØLJE (BAC)</t>
        </is>
      </c>
      <c r="C4" s="19" t="n"/>
      <c r="D4" s="19" t="n"/>
      <c r="E4" s="22" t="inlineStr">
        <is>
          <t>SLUTTPROGNOSE EAC (P50)</t>
        </is>
      </c>
      <c r="F4" s="23" t="n"/>
      <c r="G4" s="23" t="n"/>
      <c r="H4" s="22" t="inlineStr">
        <is>
          <t>PORTEFØLJE CPI INDEKS</t>
        </is>
      </c>
      <c r="I4" s="23" t="n"/>
      <c r="J4" s="23" t="n"/>
    </row>
    <row r="5" ht="28" customHeight="1">
      <c r="B5" s="24" t="n">
        <v>517000000</v>
      </c>
      <c r="C5" s="19" t="n"/>
      <c r="D5" s="19" t="n"/>
      <c r="E5" s="53" t="n">
        <v>597448796</v>
      </c>
      <c r="F5" s="23" t="n"/>
      <c r="G5" s="23" t="n"/>
      <c r="H5" s="64" t="n">
        <v>0.898</v>
      </c>
      <c r="I5" s="23" t="n"/>
      <c r="J5" s="23" t="n"/>
    </row>
    <row r="6" ht="18" customHeight="1">
      <c r="B6" s="27" t="inlineStr">
        <is>
          <t>Vedtatt totalramme Bystyret</t>
        </is>
      </c>
      <c r="C6" s="19" t="n"/>
      <c r="D6" s="19" t="n"/>
      <c r="E6" s="29" t="inlineStr">
        <is>
          <t>● Over budsjett (+15.6 %)</t>
        </is>
      </c>
      <c r="F6" s="23" t="n"/>
      <c r="G6" s="23" t="n"/>
      <c r="H6" s="29" t="inlineStr">
        <is>
          <t>Kostnadseffektivitet (CPI &lt; 1.0)</t>
        </is>
      </c>
      <c r="I6" s="23" t="n"/>
      <c r="J6" s="23" t="n"/>
    </row>
    <row r="8">
      <c r="B8" s="32" t="inlineStr">
        <is>
          <t>EARNED VALUE MANAGEMENT STATUS PER INVESTERINGSPROSJEKT (KS2 MODELL)</t>
        </is>
      </c>
    </row>
    <row r="9">
      <c r="B9" s="33" t="inlineStr">
        <is>
          <t>Prosjekt ID</t>
        </is>
      </c>
      <c r="C9" s="33" t="inlineStr">
        <is>
          <t>Prosjektnavn</t>
        </is>
      </c>
      <c r="D9" s="34" t="inlineStr">
        <is>
          <t>BAC Total</t>
        </is>
      </c>
      <c r="E9" s="34" t="inlineStr">
        <is>
          <t>PV Planlagt</t>
        </is>
      </c>
      <c r="F9" s="34" t="inlineStr">
        <is>
          <t>EV Opptjent</t>
        </is>
      </c>
      <c r="G9" s="34" t="inlineStr">
        <is>
          <t>AC Bokført</t>
        </is>
      </c>
      <c r="H9" s="34" t="inlineStr">
        <is>
          <t>CPI</t>
        </is>
      </c>
      <c r="I9" s="34" t="inlineStr">
        <is>
          <t>SPI</t>
        </is>
      </c>
      <c r="J9" s="34" t="inlineStr">
        <is>
          <t>EAC p50</t>
        </is>
      </c>
      <c r="K9" s="34" t="inlineStr">
        <is>
          <t>VAC Avvik</t>
        </is>
      </c>
      <c r="L9" s="34" t="inlineStr">
        <is>
          <t>KS2 P85 Ramme</t>
        </is>
      </c>
    </row>
    <row r="10" ht="18" customHeight="1">
      <c r="B10" s="50" t="inlineStr">
        <is>
          <t>PROJ-101</t>
        </is>
      </c>
      <c r="C10" s="50" t="inlineStr">
        <is>
          <t>Vågsbygd Barneskole</t>
        </is>
      </c>
      <c r="D10" s="51" t="n">
        <v>185000000</v>
      </c>
      <c r="E10" s="51" t="n">
        <v>110000000</v>
      </c>
      <c r="F10" s="51" t="n">
        <v>104500000</v>
      </c>
      <c r="G10" s="51" t="n">
        <v>115000000</v>
      </c>
      <c r="H10" s="65" t="n">
        <v>0.909</v>
      </c>
      <c r="I10" s="65" t="n">
        <v>0.95</v>
      </c>
      <c r="J10" s="51" t="n">
        <v>208251070</v>
      </c>
      <c r="K10" s="41" t="n">
        <v>-23251070</v>
      </c>
      <c r="L10" s="51" t="n">
        <v>224911156</v>
      </c>
    </row>
    <row r="11" ht="18" customHeight="1">
      <c r="B11" s="50" t="inlineStr">
        <is>
          <t>PROJ-201</t>
        </is>
      </c>
      <c r="C11" s="50" t="inlineStr">
        <is>
          <t>Randesund Boenhet</t>
        </is>
      </c>
      <c r="D11" s="51" t="n">
        <v>240000000</v>
      </c>
      <c r="E11" s="51" t="n">
        <v>160000000</v>
      </c>
      <c r="F11" s="51" t="n">
        <v>142000000</v>
      </c>
      <c r="G11" s="51" t="n">
        <v>168500000</v>
      </c>
      <c r="H11" s="65" t="n">
        <v>0.843</v>
      </c>
      <c r="I11" s="65" t="n">
        <v>0.887</v>
      </c>
      <c r="J11" s="51" t="n">
        <v>299529558</v>
      </c>
      <c r="K11" s="41" t="n">
        <v>-59529558</v>
      </c>
      <c r="L11" s="51" t="n">
        <v>323491922</v>
      </c>
    </row>
    <row r="12" ht="18" customHeight="1">
      <c r="B12" s="50" t="inlineStr">
        <is>
          <t>PROJ-301</t>
        </is>
      </c>
      <c r="C12" s="50" t="inlineStr">
        <is>
          <t>VA-Hovedledning Selvkost</t>
        </is>
      </c>
      <c r="D12" s="51" t="n">
        <v>92000000</v>
      </c>
      <c r="E12" s="51" t="n">
        <v>65000000</v>
      </c>
      <c r="F12" s="51" t="n">
        <v>64800000</v>
      </c>
      <c r="G12" s="51" t="n">
        <v>63100000</v>
      </c>
      <c r="H12" s="65" t="n">
        <v>1.027</v>
      </c>
      <c r="I12" s="65" t="n">
        <v>0.997</v>
      </c>
      <c r="J12" s="51" t="n">
        <v>89668168</v>
      </c>
      <c r="K12" s="66" t="n">
        <v>2331832</v>
      </c>
      <c r="L12" s="51" t="n">
        <v>96841621</v>
      </c>
    </row>
  </sheetData>
  <mergeCells count="11">
    <mergeCell ref="B5:D5"/>
    <mergeCell ref="B8:K8"/>
    <mergeCell ref="E5:G5"/>
    <mergeCell ref="H5:J5"/>
    <mergeCell ref="B4:D4"/>
    <mergeCell ref="H4:J4"/>
    <mergeCell ref="E4:G4"/>
    <mergeCell ref="B2:K2"/>
    <mergeCell ref="B6:D6"/>
    <mergeCell ref="E6:G6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I12"/>
  <sheetViews>
    <sheetView showGridLines="1" workbookViewId="0">
      <selection activeCell="A1" sqref="A1"/>
    </sheetView>
  </sheetViews>
  <sheetFormatPr baseColWidth="8" defaultRowHeight="15"/>
  <cols>
    <col width="24" customWidth="1" min="2" max="2"/>
    <col width="18" customWidth="1" min="3" max="3"/>
    <col width="28" customWidth="1" min="4" max="4"/>
    <col width="30" customWidth="1" min="5" max="5"/>
    <col width="18" customWidth="1" min="6" max="6"/>
    <col width="18" customWidth="1" min="7" max="7"/>
    <col width="18" customWidth="1" min="8" max="8"/>
    <col width="14" customWidth="1" min="9" max="9"/>
  </cols>
  <sheetData>
    <row r="2" ht="28" customHeight="1">
      <c r="B2" s="1" t="inlineStr">
        <is>
          <t xml:space="preserve">  08_ROOT_CAUSE: HIERARKISK DRILL-DOWN OG AVVIKSDEKOMPONERING  |  Rotårsak</t>
        </is>
      </c>
    </row>
    <row r="4">
      <c r="B4" s="33" t="inlineStr">
        <is>
          <t>Sektor / Virksomhetsområde</t>
        </is>
      </c>
      <c r="C4" s="33" t="inlineStr">
        <is>
          <t>Enhet</t>
        </is>
      </c>
      <c r="D4" s="33" t="inlineStr">
        <is>
          <t>KOSTRA Funksjon</t>
        </is>
      </c>
      <c r="E4" s="33" t="inlineStr">
        <is>
          <t>KOSTRA Art</t>
        </is>
      </c>
      <c r="F4" s="34" t="inlineStr">
        <is>
          <t>Budsjett (NOK)</t>
        </is>
      </c>
      <c r="G4" s="34" t="inlineStr">
        <is>
          <t>Regnskap (NOK)</t>
        </is>
      </c>
      <c r="H4" s="34" t="inlineStr">
        <is>
          <t>Avvik (NOK)</t>
        </is>
      </c>
      <c r="I4" s="34" t="inlineStr">
        <is>
          <t>Avvik %</t>
        </is>
      </c>
    </row>
    <row r="5" ht="18" customHeight="1">
      <c r="B5" s="50" t="inlineStr">
        <is>
          <t>Oppvekst og utdanning</t>
        </is>
      </c>
      <c r="C5" s="50" t="inlineStr">
        <is>
          <t>Kommunal Skole</t>
        </is>
      </c>
      <c r="D5" s="50" t="inlineStr">
        <is>
          <t>202 Grunnskoleopplæring</t>
        </is>
      </c>
      <c r="E5" s="50" t="inlineStr">
        <is>
          <t>SKOLE_FASTLØNN (Fastlønn)</t>
        </is>
      </c>
      <c r="F5" s="51" t="n">
        <v>15729000</v>
      </c>
      <c r="G5" s="51" t="n">
        <v>18197000</v>
      </c>
      <c r="H5" s="46" t="n">
        <v>-2468000</v>
      </c>
      <c r="I5" s="52" t="n">
        <v>-0.157</v>
      </c>
    </row>
    <row r="6" ht="18" customHeight="1">
      <c r="B6" s="50" t="inlineStr">
        <is>
          <t>Oppvekst og utdanning</t>
        </is>
      </c>
      <c r="C6" s="50" t="inlineStr">
        <is>
          <t>Kommunal Skole</t>
        </is>
      </c>
      <c r="D6" s="50" t="inlineStr">
        <is>
          <t>202 Grunnskoleopplæring</t>
        </is>
      </c>
      <c r="E6" s="50" t="inlineStr">
        <is>
          <t>SKOLE_LØNNTILVIKAR (Vikarer)</t>
        </is>
      </c>
      <c r="F6" s="51" t="n">
        <v>202000</v>
      </c>
      <c r="G6" s="51" t="n">
        <v>847000</v>
      </c>
      <c r="H6" s="46" t="n">
        <v>-645000</v>
      </c>
      <c r="I6" s="52" t="n">
        <v>-3.193</v>
      </c>
    </row>
    <row r="7" ht="18" customHeight="1">
      <c r="B7" s="50" t="inlineStr">
        <is>
          <t>Oppvekst og utdanning</t>
        </is>
      </c>
      <c r="C7" s="50" t="inlineStr">
        <is>
          <t>Kommunal Skole</t>
        </is>
      </c>
      <c r="D7" s="50" t="inlineStr">
        <is>
          <t>202 Grunnskoleopplæring</t>
        </is>
      </c>
      <c r="E7" s="50" t="inlineStr">
        <is>
          <t>SKOLE_ARBEIDSGIVER (AGA)</t>
        </is>
      </c>
      <c r="F7" s="51" t="n">
        <v>3785000</v>
      </c>
      <c r="G7" s="51" t="n">
        <v>4216000</v>
      </c>
      <c r="H7" s="46" t="n">
        <v>-431000</v>
      </c>
      <c r="I7" s="52" t="n">
        <v>-0.114</v>
      </c>
    </row>
    <row r="8" ht="18" customHeight="1">
      <c r="B8" s="50" t="inlineStr">
        <is>
          <t>Oppvekst og utdanning</t>
        </is>
      </c>
      <c r="C8" s="50" t="inlineStr">
        <is>
          <t>Kommunal Skole</t>
        </is>
      </c>
      <c r="D8" s="50" t="inlineStr">
        <is>
          <t>202 Grunnskoleopplæring</t>
        </is>
      </c>
      <c r="E8" s="50" t="inlineStr">
        <is>
          <t>SKOLE_OVERTID (Overtid)</t>
        </is>
      </c>
      <c r="F8" s="51" t="n">
        <v>57000</v>
      </c>
      <c r="G8" s="51" t="n">
        <v>436000</v>
      </c>
      <c r="H8" s="46" t="n">
        <v>-379000</v>
      </c>
      <c r="I8" s="52" t="n">
        <v>-6.649</v>
      </c>
    </row>
    <row r="9" ht="18" customHeight="1">
      <c r="B9" s="50" t="inlineStr">
        <is>
          <t>Helse og mestring</t>
        </is>
      </c>
      <c r="C9" s="50" t="inlineStr">
        <is>
          <t>Kommunal Boenhet</t>
        </is>
      </c>
      <c r="D9" s="50" t="inlineStr">
        <is>
          <t>254 Heldøgns pleie og omsorg</t>
        </is>
      </c>
      <c r="E9" s="50" t="inlineStr">
        <is>
          <t>1010 Fastlønn helsefagarbeidere</t>
        </is>
      </c>
      <c r="F9" s="51" t="n">
        <v>24500000</v>
      </c>
      <c r="G9" s="51" t="n">
        <v>27800000</v>
      </c>
      <c r="H9" s="46" t="n">
        <v>-3300000</v>
      </c>
      <c r="I9" s="52" t="n">
        <v>-0.135</v>
      </c>
    </row>
    <row r="10" ht="18" customHeight="1">
      <c r="B10" s="50" t="inlineStr">
        <is>
          <t>Helse og mestring</t>
        </is>
      </c>
      <c r="C10" s="50" t="inlineStr">
        <is>
          <t>Kommunal Boenhet</t>
        </is>
      </c>
      <c r="D10" s="50" t="inlineStr">
        <is>
          <t>254 Heldøgns pleie og omsorg</t>
        </is>
      </c>
      <c r="E10" s="50" t="inlineStr">
        <is>
          <t>1020 Sykefraværsvikarer</t>
        </is>
      </c>
      <c r="F10" s="51" t="n">
        <v>4200000</v>
      </c>
      <c r="G10" s="51" t="n">
        <v>6850000</v>
      </c>
      <c r="H10" s="46" t="n">
        <v>-2650000</v>
      </c>
      <c r="I10" s="52" t="n">
        <v>-0.631</v>
      </c>
    </row>
    <row r="11" ht="18" customHeight="1">
      <c r="B11" s="50" t="inlineStr">
        <is>
          <t>Helse og mestring</t>
        </is>
      </c>
      <c r="C11" s="50" t="inlineStr">
        <is>
          <t>Kommunal Boenhet</t>
        </is>
      </c>
      <c r="D11" s="50" t="inlineStr">
        <is>
          <t>254 Heldøgns pleie og omsorg</t>
        </is>
      </c>
      <c r="E11" s="50" t="inlineStr">
        <is>
          <t>1090 Overtidsgodtgjørelse</t>
        </is>
      </c>
      <c r="F11" s="51" t="n">
        <v>2100000</v>
      </c>
      <c r="G11" s="51" t="n">
        <v>3420000</v>
      </c>
      <c r="H11" s="46" t="n">
        <v>-1320000</v>
      </c>
      <c r="I11" s="52" t="n">
        <v>-0.629</v>
      </c>
    </row>
    <row r="12" ht="18" customHeight="1">
      <c r="B12" s="50" t="inlineStr">
        <is>
          <t>Helse og mestring</t>
        </is>
      </c>
      <c r="C12" s="50" t="inlineStr">
        <is>
          <t>Kommunal Boenhet</t>
        </is>
      </c>
      <c r="D12" s="50" t="inlineStr">
        <is>
          <t>254 Heldøgns pleie og omsorg</t>
        </is>
      </c>
      <c r="E12" s="50" t="inlineStr">
        <is>
          <t>1270 Privat byråinnleie</t>
        </is>
      </c>
      <c r="F12" s="51" t="n">
        <v>0</v>
      </c>
      <c r="G12" s="51" t="n">
        <v>382656</v>
      </c>
      <c r="H12" s="46" t="n">
        <v>-382656</v>
      </c>
      <c r="I12" s="52" t="n">
        <v>-1</v>
      </c>
    </row>
  </sheetData>
  <mergeCells count="1">
    <mergeCell ref="B2:I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J9"/>
  <sheetViews>
    <sheetView showGridLines="1" workbookViewId="0">
      <selection activeCell="A1" sqref="A1"/>
    </sheetView>
  </sheetViews>
  <sheetFormatPr baseColWidth="8" defaultRowHeight="15"/>
  <cols>
    <col width="20" customWidth="1" min="2" max="2"/>
    <col width="12" customWidth="1" min="3" max="3"/>
    <col width="14" customWidth="1" min="4" max="4"/>
    <col width="36" customWidth="1" min="5" max="5"/>
    <col width="12" customWidth="1" min="6" max="6"/>
    <col width="18" customWidth="1" min="7" max="7"/>
    <col width="18" customWidth="1" min="8" max="8"/>
    <col width="44" customWidth="1" min="9" max="9"/>
    <col width="30" customWidth="1" min="10" max="10"/>
  </cols>
  <sheetData>
    <row r="2" ht="28" customHeight="1">
      <c r="B2" s="1" t="inlineStr">
        <is>
          <t xml:space="preserve">  09_AUDIT: KRYPTOGRAFISK REVISJONSSPOR FOR KOMMUNEREVISJONEN  |  Stage-Gate Port 9</t>
        </is>
      </c>
    </row>
    <row r="4">
      <c r="B4" s="56" t="inlineStr">
        <is>
          <t>Tidsstempel</t>
        </is>
      </c>
      <c r="C4" s="56" t="inlineStr">
        <is>
          <t>Enhetskode</t>
        </is>
      </c>
      <c r="D4" s="56" t="inlineStr">
        <is>
          <t>Ansvar</t>
        </is>
      </c>
      <c r="E4" s="56" t="inlineStr">
        <is>
          <t>AI Tiltak / Anbefaling</t>
        </is>
      </c>
      <c r="F4" s="56" t="inlineStr">
        <is>
          <t>Konfidens</t>
        </is>
      </c>
      <c r="G4" s="56" t="inlineStr">
        <is>
          <t>Leder Beslutning</t>
        </is>
      </c>
      <c r="H4" s="56" t="inlineStr">
        <is>
          <t>Saksbehandler</t>
        </is>
      </c>
      <c r="I4" s="56" t="inlineStr">
        <is>
          <t>Begrunnelse &amp; Lovhjemmel</t>
        </is>
      </c>
      <c r="J4" s="56" t="inlineStr">
        <is>
          <t>SHA-256 Forsegling</t>
        </is>
      </c>
    </row>
    <row r="5" ht="20" customHeight="1">
      <c r="B5" s="50" t="inlineStr">
        <is>
          <t>2026-08-20 14:30:00</t>
        </is>
      </c>
      <c r="C5" s="50" t="inlineStr">
        <is>
          <t>2020</t>
        </is>
      </c>
      <c r="D5" s="50" t="inlineStr">
        <is>
          <t>KOMSKOLE</t>
        </is>
      </c>
      <c r="E5" s="50" t="inlineStr">
        <is>
          <t>Vikarstopp korttidsfravær &lt; 3 dager</t>
        </is>
      </c>
      <c r="F5" s="52" t="n">
        <v>0.9399999999999999</v>
      </c>
      <c r="G5" s="67" t="inlineStr">
        <is>
          <t>APPROVED</t>
        </is>
      </c>
      <c r="H5" s="50" t="inlineStr">
        <is>
          <t>Frank Ellingsen</t>
        </is>
      </c>
      <c r="I5" s="50" t="inlineStr">
        <is>
          <t>Kvantifisert innsparing 170k/mnd jf. Kommuneloven § 14-5</t>
        </is>
      </c>
      <c r="J5" s="68" t="inlineStr">
        <is>
          <t>a8f9c2e411b98d249f05786a34567890abcdef1234567890abcdef1234567890</t>
        </is>
      </c>
    </row>
    <row r="6" ht="20" customHeight="1">
      <c r="B6" s="50" t="inlineStr">
        <is>
          <t>2026-08-22 11:15:00</t>
        </is>
      </c>
      <c r="C6" s="50" t="inlineStr">
        <is>
          <t>2540</t>
        </is>
      </c>
      <c r="D6" s="50" t="inlineStr">
        <is>
          <t>BOMILJO</t>
        </is>
      </c>
      <c r="E6" s="50" t="inlineStr">
        <is>
          <t>Turnusendring og overtidstak døgnpost</t>
        </is>
      </c>
      <c r="F6" s="52" t="n">
        <v>0.89</v>
      </c>
      <c r="G6" s="69" t="inlineStr">
        <is>
          <t>MODIFIED</t>
        </is>
      </c>
      <c r="H6" s="50" t="inlineStr">
        <is>
          <t>Frank Ellingsen</t>
        </is>
      </c>
      <c r="I6" s="50" t="inlineStr">
        <is>
          <t>Drøftet med tillitsvalgte iht. HTA § 4 og AML § 10-12</t>
        </is>
      </c>
      <c r="J6" s="68" t="inlineStr">
        <is>
          <t>f34b9982a74c1022bcde7890abcdef1234567890abcdef1234567890abcdef12</t>
        </is>
      </c>
    </row>
    <row r="7" ht="20" customHeight="1">
      <c r="B7" s="50" t="inlineStr">
        <is>
          <t>2026-08-25 09:00:00</t>
        </is>
      </c>
      <c r="C7" s="50" t="inlineStr">
        <is>
          <t>2540</t>
        </is>
      </c>
      <c r="D7" s="50" t="inlineStr">
        <is>
          <t>BOMILJO</t>
        </is>
      </c>
      <c r="E7" s="50" t="inlineStr">
        <is>
          <t>Beredskapsjustering og bemanningsplan natt</t>
        </is>
      </c>
      <c r="F7" s="52" t="n">
        <v>0.92</v>
      </c>
      <c r="G7" s="67" t="inlineStr">
        <is>
          <t>APPROVED</t>
        </is>
      </c>
      <c r="H7" s="50" t="inlineStr">
        <is>
          <t>Frank Ellingsen</t>
        </is>
      </c>
      <c r="I7" s="50" t="inlineStr">
        <is>
          <t>Optimalisert grunnbemanning natt jf. helse- og omsorgstjenesteloven</t>
        </is>
      </c>
      <c r="J7" s="68" t="inlineStr">
        <is>
          <t>1234567890abcdef1234567890abcdef1234567890abcdef1234567890abcdef</t>
        </is>
      </c>
    </row>
    <row r="8" ht="20" customHeight="1">
      <c r="B8" s="50" t="inlineStr">
        <is>
          <t>2026-08-28 13:45:00</t>
        </is>
      </c>
      <c r="C8" s="50" t="inlineStr">
        <is>
          <t>2020</t>
        </is>
      </c>
      <c r="D8" s="50" t="inlineStr">
        <is>
          <t>KOMSKOLE</t>
        </is>
      </c>
      <c r="E8" s="50" t="inlineStr">
        <is>
          <t>Innkjøpssamordning læremidler og lisenser</t>
        </is>
      </c>
      <c r="F8" s="52" t="n">
        <v>0.95</v>
      </c>
      <c r="G8" s="67" t="inlineStr">
        <is>
          <t>APPROVED</t>
        </is>
      </c>
      <c r="H8" s="50" t="inlineStr">
        <is>
          <t>Frank Ellingsen</t>
        </is>
      </c>
      <c r="I8" s="50" t="inlineStr">
        <is>
          <t>Samlet innkjøpsavtale via Agder fellesinnkjøp</t>
        </is>
      </c>
      <c r="J8" s="68" t="inlineStr">
        <is>
          <t>fedcba0987654321fedcba0987654321fedcba0987654321fedcba0987654321</t>
        </is>
      </c>
    </row>
    <row r="9" ht="20" customHeight="1">
      <c r="B9" s="50" t="inlineStr">
        <is>
          <t>2026-09-02 10:30:00</t>
        </is>
      </c>
      <c r="C9" s="50" t="inlineStr">
        <is>
          <t>SENTRAL</t>
        </is>
      </c>
      <c r="D9" s="50" t="inlineStr">
        <is>
          <t>SENTRAL</t>
        </is>
      </c>
      <c r="E9" s="50" t="inlineStr">
        <is>
          <t>Rammekutt konsulentbistand rådhusstab</t>
        </is>
      </c>
      <c r="F9" s="52" t="n">
        <v>0.97</v>
      </c>
      <c r="G9" s="67" t="inlineStr">
        <is>
          <t>APPROVED</t>
        </is>
      </c>
      <c r="H9" s="50" t="inlineStr">
        <is>
          <t>Frank Ellingsen</t>
        </is>
      </c>
      <c r="I9" s="50" t="inlineStr">
        <is>
          <t>Stopp i eksterne utredninger jf. rammekrav § 14-5</t>
        </is>
      </c>
      <c r="J9" s="68" t="inlineStr">
        <is>
          <t>abcdef0123456789abcdef0123456789abcdef0123456789abcdef0123456789</t>
        </is>
      </c>
    </row>
  </sheetData>
  <mergeCells count="1">
    <mergeCell ref="B2:I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I64"/>
  <sheetViews>
    <sheetView showGridLines="1" workbookViewId="0">
      <selection activeCell="A1" sqref="A1"/>
    </sheetView>
  </sheetViews>
  <sheetFormatPr baseColWidth="8" defaultRowHeight="15"/>
  <cols>
    <col width="20" customWidth="1" min="2" max="2"/>
    <col width="16" customWidth="1" min="3" max="3"/>
    <col width="10" customWidth="1" min="4" max="4"/>
    <col width="16" customWidth="1" min="5" max="5"/>
    <col width="18" customWidth="1" min="6" max="6"/>
    <col width="14" customWidth="1" min="7" max="7"/>
    <col width="14" customWidth="1" min="8" max="8"/>
    <col width="18" customWidth="1" min="9" max="9"/>
  </cols>
  <sheetData>
    <row r="2" ht="28" customHeight="1">
      <c r="B2" s="1" t="inlineStr">
        <is>
          <t xml:space="preserve">  10_DETAIL: TRANSAKSJONSGRUNNLAG &amp; FAKTATABELL (STAR SCHEMA)  |  Detaljdata</t>
        </is>
      </c>
    </row>
    <row r="4">
      <c r="B4" s="56" t="inlineStr">
        <is>
          <t>Transaksjon Hash</t>
        </is>
      </c>
      <c r="C4" s="56" t="inlineStr">
        <is>
          <t>Kildesystem</t>
        </is>
      </c>
      <c r="D4" s="56" t="inlineStr">
        <is>
          <t>Klasse</t>
        </is>
      </c>
      <c r="E4" s="56" t="inlineStr">
        <is>
          <t>KOSTRA Funksjon</t>
        </is>
      </c>
      <c r="F4" s="56" t="inlineStr">
        <is>
          <t>KOSTRA Art</t>
        </is>
      </c>
      <c r="G4" s="56" t="inlineStr">
        <is>
          <t>Ansvar</t>
        </is>
      </c>
      <c r="H4" s="56" t="inlineStr">
        <is>
          <t>Periode</t>
        </is>
      </c>
      <c r="I4" s="56" t="inlineStr">
        <is>
          <t>Beløp (NOK)</t>
        </is>
      </c>
    </row>
    <row r="5" ht="18" customHeight="1">
      <c r="B5" s="68" t="inlineStr">
        <is>
          <t>2536722dab16ef58...</t>
        </is>
      </c>
      <c r="C5" s="50" t="inlineStr">
        <is>
          <t>VISMA_ERP</t>
        </is>
      </c>
      <c r="D5" s="50" t="n">
        <v>1</v>
      </c>
      <c r="E5" s="50" t="inlineStr">
        <is>
          <t>253</t>
        </is>
      </c>
      <c r="F5" s="50" t="inlineStr">
        <is>
          <t>1010</t>
        </is>
      </c>
      <c r="G5" s="50" t="inlineStr">
        <is>
          <t>5100-OMR-SYKEHJEM</t>
        </is>
      </c>
      <c r="H5" s="50" t="inlineStr">
        <is>
          <t>2026-10</t>
        </is>
      </c>
      <c r="I5" s="51" t="n">
        <v>86400000</v>
      </c>
    </row>
    <row r="6" ht="18" customHeight="1">
      <c r="B6" s="68" t="inlineStr">
        <is>
          <t>c150ada6f49510f7...</t>
        </is>
      </c>
      <c r="C6" s="50" t="inlineStr">
        <is>
          <t>VISMA_ERP</t>
        </is>
      </c>
      <c r="D6" s="50" t="n">
        <v>1</v>
      </c>
      <c r="E6" s="50" t="inlineStr">
        <is>
          <t>202</t>
        </is>
      </c>
      <c r="F6" s="50" t="inlineStr">
        <is>
          <t>1010</t>
        </is>
      </c>
      <c r="G6" s="50" t="inlineStr">
        <is>
          <t>4100-OMR-SKOLE</t>
        </is>
      </c>
      <c r="H6" s="50" t="inlineStr">
        <is>
          <t>2026-10</t>
        </is>
      </c>
      <c r="I6" s="51" t="n">
        <v>82800000</v>
      </c>
    </row>
    <row r="7" ht="18" customHeight="1">
      <c r="B7" s="68" t="inlineStr">
        <is>
          <t>70b95cbbae4dad0e...</t>
        </is>
      </c>
      <c r="C7" s="50" t="inlineStr">
        <is>
          <t>VISMA_ERP</t>
        </is>
      </c>
      <c r="D7" s="50" t="n">
        <v>1</v>
      </c>
      <c r="E7" s="50" t="inlineStr">
        <is>
          <t>254</t>
        </is>
      </c>
      <c r="F7" s="50" t="inlineStr">
        <is>
          <t>1010</t>
        </is>
      </c>
      <c r="G7" s="50" t="inlineStr">
        <is>
          <t>5200-OMR-HJEMME</t>
        </is>
      </c>
      <c r="H7" s="50" t="inlineStr">
        <is>
          <t>2026-10</t>
        </is>
      </c>
      <c r="I7" s="51" t="n">
        <v>73800000</v>
      </c>
    </row>
    <row r="8" ht="18" customHeight="1">
      <c r="B8" s="68" t="inlineStr">
        <is>
          <t>a88353485cc057d5...</t>
        </is>
      </c>
      <c r="C8" s="50" t="inlineStr">
        <is>
          <t>VISMA_ERP</t>
        </is>
      </c>
      <c r="D8" s="50" t="n">
        <v>1</v>
      </c>
      <c r="E8" s="50" t="inlineStr">
        <is>
          <t>211</t>
        </is>
      </c>
      <c r="F8" s="50" t="inlineStr">
        <is>
          <t>1010</t>
        </is>
      </c>
      <c r="G8" s="50" t="inlineStr">
        <is>
          <t>4200-OMR-BHG</t>
        </is>
      </c>
      <c r="H8" s="50" t="inlineStr">
        <is>
          <t>2026-10</t>
        </is>
      </c>
      <c r="I8" s="51" t="n">
        <v>64800000</v>
      </c>
    </row>
    <row r="9" ht="18" customHeight="1">
      <c r="B9" s="68" t="inlineStr">
        <is>
          <t>342539ed09906f51...</t>
        </is>
      </c>
      <c r="C9" s="50" t="inlineStr">
        <is>
          <t>VISMA_ERP</t>
        </is>
      </c>
      <c r="D9" s="50" t="n">
        <v>1</v>
      </c>
      <c r="E9" s="50" t="inlineStr">
        <is>
          <t>100</t>
        </is>
      </c>
      <c r="F9" s="50" t="inlineStr">
        <is>
          <t>1010</t>
        </is>
      </c>
      <c r="G9" s="50" t="inlineStr">
        <is>
          <t>6200-ENH-601</t>
        </is>
      </c>
      <c r="H9" s="50" t="inlineStr">
        <is>
          <t>2026-10</t>
        </is>
      </c>
      <c r="I9" s="51" t="n">
        <v>37800000</v>
      </c>
    </row>
    <row r="10" ht="18" customHeight="1">
      <c r="B10" s="68" t="inlineStr">
        <is>
          <t>09da6a6d8c41a157...</t>
        </is>
      </c>
      <c r="C10" s="50" t="inlineStr">
        <is>
          <t>VISMA_ERP</t>
        </is>
      </c>
      <c r="D10" s="50" t="n">
        <v>1</v>
      </c>
      <c r="E10" s="50" t="inlineStr">
        <is>
          <t>340</t>
        </is>
      </c>
      <c r="F10" s="50" t="inlineStr">
        <is>
          <t>1010</t>
        </is>
      </c>
      <c r="G10" s="50" t="inlineStr">
        <is>
          <t>3100-ENH-302</t>
        </is>
      </c>
      <c r="H10" s="50" t="inlineStr">
        <is>
          <t>2026-10</t>
        </is>
      </c>
      <c r="I10" s="51" t="n">
        <v>28800000</v>
      </c>
    </row>
    <row r="11" ht="18" customHeight="1">
      <c r="B11" s="68" t="inlineStr">
        <is>
          <t>ff00245d7aa9c81f...</t>
        </is>
      </c>
      <c r="C11" s="50" t="inlineStr">
        <is>
          <t>VISMA_ERP</t>
        </is>
      </c>
      <c r="D11" s="50" t="n">
        <v>1</v>
      </c>
      <c r="E11" s="50" t="inlineStr">
        <is>
          <t>300</t>
        </is>
      </c>
      <c r="F11" s="50" t="inlineStr">
        <is>
          <t>1010</t>
        </is>
      </c>
      <c r="G11" s="50" t="inlineStr">
        <is>
          <t>2000-SJEF-KULTUR</t>
        </is>
      </c>
      <c r="H11" s="50" t="inlineStr">
        <is>
          <t>2026-10</t>
        </is>
      </c>
      <c r="I11" s="51" t="n">
        <v>21600000</v>
      </c>
    </row>
    <row r="12" ht="18" customHeight="1">
      <c r="B12" s="68" t="inlineStr">
        <is>
          <t>2113b73c1322862b...</t>
        </is>
      </c>
      <c r="C12" s="50" t="inlineStr">
        <is>
          <t>VISMA_ERP</t>
        </is>
      </c>
      <c r="D12" s="50" t="n">
        <v>1</v>
      </c>
      <c r="E12" s="50" t="inlineStr">
        <is>
          <t>120</t>
        </is>
      </c>
      <c r="F12" s="50" t="inlineStr">
        <is>
          <t>1010</t>
        </is>
      </c>
      <c r="G12" s="50" t="inlineStr">
        <is>
          <t>SENTRAL</t>
        </is>
      </c>
      <c r="H12" s="50" t="inlineStr">
        <is>
          <t>2026-10</t>
        </is>
      </c>
      <c r="I12" s="51" t="n">
        <v>21600000</v>
      </c>
    </row>
    <row r="13" ht="18" customHeight="1">
      <c r="B13" s="68" t="inlineStr">
        <is>
          <t>24a4c44fbe5455bf...</t>
        </is>
      </c>
      <c r="C13" s="50" t="inlineStr">
        <is>
          <t>VISMA_ERP</t>
        </is>
      </c>
      <c r="D13" s="50" t="n">
        <v>1</v>
      </c>
      <c r="E13" s="50" t="inlineStr">
        <is>
          <t>253</t>
        </is>
      </c>
      <c r="F13" s="50" t="inlineStr">
        <is>
          <t>1250</t>
        </is>
      </c>
      <c r="G13" s="50" t="inlineStr">
        <is>
          <t>5100-OMR-SYKEHJEM</t>
        </is>
      </c>
      <c r="H13" s="50" t="inlineStr">
        <is>
          <t>2026-10</t>
        </is>
      </c>
      <c r="I13" s="51" t="n">
        <v>17179411.76</v>
      </c>
    </row>
    <row r="14" ht="18" customHeight="1">
      <c r="B14" s="68" t="inlineStr">
        <is>
          <t>abf3f72e785a2386...</t>
        </is>
      </c>
      <c r="C14" s="50" t="inlineStr">
        <is>
          <t>VISMA_ERP</t>
        </is>
      </c>
      <c r="D14" s="50" t="n">
        <v>1</v>
      </c>
      <c r="E14" s="50" t="inlineStr">
        <is>
          <t>202</t>
        </is>
      </c>
      <c r="F14" s="50" t="inlineStr">
        <is>
          <t>1020</t>
        </is>
      </c>
      <c r="G14" s="50" t="inlineStr">
        <is>
          <t>4100-OMR-SKOLE</t>
        </is>
      </c>
      <c r="H14" s="50" t="inlineStr">
        <is>
          <t>2026-10</t>
        </is>
      </c>
      <c r="I14" s="51" t="n">
        <v>16390588.24</v>
      </c>
    </row>
    <row r="15" ht="18" customHeight="1">
      <c r="B15" s="68" t="inlineStr">
        <is>
          <t>8ea5769dbf5bd12d...</t>
        </is>
      </c>
      <c r="C15" s="50" t="inlineStr">
        <is>
          <t>VISMA_ERP</t>
        </is>
      </c>
      <c r="D15" s="50" t="n">
        <v>1</v>
      </c>
      <c r="E15" s="50" t="inlineStr">
        <is>
          <t>330</t>
        </is>
      </c>
      <c r="F15" s="50" t="inlineStr">
        <is>
          <t>1010</t>
        </is>
      </c>
      <c r="G15" s="50" t="inlineStr">
        <is>
          <t>3000-SJEF-BYUTV</t>
        </is>
      </c>
      <c r="H15" s="50" t="inlineStr">
        <is>
          <t>2026-10</t>
        </is>
      </c>
      <c r="I15" s="51" t="n">
        <v>16200000</v>
      </c>
    </row>
    <row r="16" ht="18" customHeight="1">
      <c r="B16" s="68" t="inlineStr">
        <is>
          <t>5c6d4b797d647c1a...</t>
        </is>
      </c>
      <c r="C16" s="50" t="inlineStr">
        <is>
          <t>VISMA_ERP</t>
        </is>
      </c>
      <c r="D16" s="50" t="n">
        <v>1</v>
      </c>
      <c r="E16" s="50" t="inlineStr">
        <is>
          <t>120</t>
        </is>
      </c>
      <c r="F16" s="50" t="inlineStr">
        <is>
          <t>1010</t>
        </is>
      </c>
      <c r="G16" s="50" t="inlineStr">
        <is>
          <t>1110-ENH-501</t>
        </is>
      </c>
      <c r="H16" s="50" t="inlineStr">
        <is>
          <t>2026-10</t>
        </is>
      </c>
      <c r="I16" s="51" t="n">
        <v>16200000</v>
      </c>
    </row>
    <row r="17" ht="18" customHeight="1">
      <c r="B17" s="68" t="inlineStr">
        <is>
          <t>742742cb666562ae...</t>
        </is>
      </c>
      <c r="C17" s="50" t="inlineStr">
        <is>
          <t>VISMA_ERP</t>
        </is>
      </c>
      <c r="D17" s="50" t="n">
        <v>1</v>
      </c>
      <c r="E17" s="50" t="inlineStr">
        <is>
          <t>254</t>
        </is>
      </c>
      <c r="F17" s="50" t="inlineStr">
        <is>
          <t>1090</t>
        </is>
      </c>
      <c r="G17" s="50" t="inlineStr">
        <is>
          <t>5200-OMR-HJEMME</t>
        </is>
      </c>
      <c r="H17" s="50" t="inlineStr">
        <is>
          <t>2026-10</t>
        </is>
      </c>
      <c r="I17" s="51" t="n">
        <v>14209411.76</v>
      </c>
    </row>
    <row r="18" ht="18" customHeight="1">
      <c r="B18" s="68" t="inlineStr">
        <is>
          <t>b9ba0e38d51fc492...</t>
        </is>
      </c>
      <c r="C18" s="50" t="inlineStr">
        <is>
          <t>VISMA_ERP</t>
        </is>
      </c>
      <c r="D18" s="50" t="n">
        <v>1</v>
      </c>
      <c r="E18" s="50" t="inlineStr">
        <is>
          <t>211</t>
        </is>
      </c>
      <c r="F18" s="50" t="inlineStr">
        <is>
          <t>1020</t>
        </is>
      </c>
      <c r="G18" s="50" t="inlineStr">
        <is>
          <t>4200-OMR-BHG</t>
        </is>
      </c>
      <c r="H18" s="50" t="inlineStr">
        <is>
          <t>2026-10</t>
        </is>
      </c>
      <c r="I18" s="51" t="n">
        <v>12600000</v>
      </c>
    </row>
    <row r="19" ht="18" customHeight="1">
      <c r="B19" s="68" t="inlineStr">
        <is>
          <t>2ed2228647cb7997...</t>
        </is>
      </c>
      <c r="C19" s="50" t="inlineStr">
        <is>
          <t>VISMA_ERP</t>
        </is>
      </c>
      <c r="D19" s="50" t="n">
        <v>1</v>
      </c>
      <c r="E19" s="50" t="inlineStr">
        <is>
          <t>345</t>
        </is>
      </c>
      <c r="F19" s="50" t="inlineStr">
        <is>
          <t>1010</t>
        </is>
      </c>
      <c r="G19" s="50" t="inlineStr">
        <is>
          <t>3101-SEK-AVLOP</t>
        </is>
      </c>
      <c r="H19" s="50" t="inlineStr">
        <is>
          <t>2026-10</t>
        </is>
      </c>
      <c r="I19" s="51" t="n">
        <v>12600000</v>
      </c>
    </row>
    <row r="20" ht="18" customHeight="1">
      <c r="B20" s="68" t="inlineStr">
        <is>
          <t>afe75789056aa715...</t>
        </is>
      </c>
      <c r="C20" s="50" t="inlineStr">
        <is>
          <t>VISMA_ERP</t>
        </is>
      </c>
      <c r="D20" s="50" t="n">
        <v>1</v>
      </c>
      <c r="E20" s="50" t="inlineStr">
        <is>
          <t>350</t>
        </is>
      </c>
      <c r="F20" s="50" t="inlineStr">
        <is>
          <t>1010</t>
        </is>
      </c>
      <c r="G20" s="50" t="inlineStr">
        <is>
          <t>3100-DIR-VAR</t>
        </is>
      </c>
      <c r="H20" s="50" t="inlineStr">
        <is>
          <t>2026-10</t>
        </is>
      </c>
      <c r="I20" s="51" t="n">
        <v>7650000</v>
      </c>
    </row>
    <row r="21" ht="18" customHeight="1">
      <c r="B21" s="68" t="inlineStr">
        <is>
          <t>35189ec6ae55918d...</t>
        </is>
      </c>
      <c r="C21" s="50" t="inlineStr">
        <is>
          <t>VISMA_ERP</t>
        </is>
      </c>
      <c r="D21" s="50" t="n">
        <v>1</v>
      </c>
      <c r="E21" s="50" t="inlineStr">
        <is>
          <t>100</t>
        </is>
      </c>
      <c r="F21" s="50" t="inlineStr">
        <is>
          <t>1010</t>
        </is>
      </c>
      <c r="G21" s="50" t="inlineStr">
        <is>
          <t>0000-KOMMDIR</t>
        </is>
      </c>
      <c r="H21" s="50" t="inlineStr">
        <is>
          <t>2026-10</t>
        </is>
      </c>
      <c r="I21" s="51" t="n">
        <v>7200000</v>
      </c>
    </row>
    <row r="22" ht="18" customHeight="1">
      <c r="B22" s="68" t="inlineStr">
        <is>
          <t>563517d0f90abb1b...</t>
        </is>
      </c>
      <c r="C22" s="50" t="inlineStr">
        <is>
          <t>VISMA_ERP</t>
        </is>
      </c>
      <c r="D22" s="50" t="n">
        <v>1</v>
      </c>
      <c r="E22" s="50" t="inlineStr">
        <is>
          <t>253</t>
        </is>
      </c>
      <c r="F22" s="50" t="inlineStr">
        <is>
          <t>1010</t>
        </is>
      </c>
      <c r="G22" s="50" t="inlineStr">
        <is>
          <t>5230-ENH-404</t>
        </is>
      </c>
      <c r="H22" s="50" t="inlineStr">
        <is>
          <t>2026-10</t>
        </is>
      </c>
      <c r="I22" s="51" t="n">
        <v>6120000</v>
      </c>
    </row>
    <row r="23" ht="18" customHeight="1">
      <c r="B23" s="68" t="inlineStr">
        <is>
          <t>af7e4ba7d3c3f568...</t>
        </is>
      </c>
      <c r="C23" s="50" t="inlineStr">
        <is>
          <t>VISMA_ERP</t>
        </is>
      </c>
      <c r="D23" s="50" t="n">
        <v>1</v>
      </c>
      <c r="E23" s="50" t="inlineStr">
        <is>
          <t>330</t>
        </is>
      </c>
      <c r="F23" s="50" t="inlineStr">
        <is>
          <t>1010</t>
        </is>
      </c>
      <c r="G23" s="50" t="inlineStr">
        <is>
          <t>3200-DIR-PLAN</t>
        </is>
      </c>
      <c r="H23" s="50" t="inlineStr">
        <is>
          <t>2026-10</t>
        </is>
      </c>
      <c r="I23" s="51" t="n">
        <v>6120000</v>
      </c>
    </row>
    <row r="24" ht="18" customHeight="1">
      <c r="B24" s="68" t="inlineStr">
        <is>
          <t>bae203fe6d024a2f...</t>
        </is>
      </c>
      <c r="C24" s="50" t="inlineStr">
        <is>
          <t>VISMA_ERP</t>
        </is>
      </c>
      <c r="D24" s="50" t="n">
        <v>1</v>
      </c>
      <c r="E24" s="50" t="inlineStr">
        <is>
          <t>100</t>
        </is>
      </c>
      <c r="F24" s="50" t="inlineStr">
        <is>
          <t>1800</t>
        </is>
      </c>
      <c r="G24" s="50" t="inlineStr">
        <is>
          <t>6200-ENH-601</t>
        </is>
      </c>
      <c r="H24" s="50" t="inlineStr">
        <is>
          <t>2026-10</t>
        </is>
      </c>
      <c r="I24" s="51" t="n">
        <v>5876470.59</v>
      </c>
    </row>
    <row r="25" ht="18" customHeight="1">
      <c r="B25" s="68" t="inlineStr">
        <is>
          <t>b23ccd04a071b0cd...</t>
        </is>
      </c>
      <c r="C25" s="50" t="inlineStr">
        <is>
          <t>VISMA_ERP</t>
        </is>
      </c>
      <c r="D25" s="50" t="n">
        <v>1</v>
      </c>
      <c r="E25" s="50" t="inlineStr">
        <is>
          <t>130</t>
        </is>
      </c>
      <c r="F25" s="50" t="inlineStr">
        <is>
          <t>1010</t>
        </is>
      </c>
      <c r="G25" s="50" t="inlineStr">
        <is>
          <t>6100-DIR-REGNSKAP</t>
        </is>
      </c>
      <c r="H25" s="50" t="inlineStr">
        <is>
          <t>2026-10</t>
        </is>
      </c>
      <c r="I25" s="51" t="n">
        <v>5850000</v>
      </c>
    </row>
    <row r="26" ht="18" customHeight="1">
      <c r="B26" s="68" t="inlineStr">
        <is>
          <t>aa500bc1eb548e80...</t>
        </is>
      </c>
      <c r="C26" s="50" t="inlineStr">
        <is>
          <t>VISMA_ERP</t>
        </is>
      </c>
      <c r="D26" s="50" t="n">
        <v>1</v>
      </c>
      <c r="E26" s="50" t="inlineStr">
        <is>
          <t>253</t>
        </is>
      </c>
      <c r="F26" s="50" t="inlineStr">
        <is>
          <t>1010</t>
        </is>
      </c>
      <c r="G26" s="50" t="inlineStr">
        <is>
          <t>5200-ENH-401</t>
        </is>
      </c>
      <c r="H26" s="50" t="inlineStr">
        <is>
          <t>2026-10</t>
        </is>
      </c>
      <c r="I26" s="51" t="n">
        <v>5580000</v>
      </c>
    </row>
    <row r="27" ht="18" customHeight="1">
      <c r="B27" s="68" t="inlineStr">
        <is>
          <t>d6982070ca09257d...</t>
        </is>
      </c>
      <c r="C27" s="50" t="inlineStr">
        <is>
          <t>VISMA_ERP</t>
        </is>
      </c>
      <c r="D27" s="50" t="n">
        <v>1</v>
      </c>
      <c r="E27" s="50" t="inlineStr">
        <is>
          <t>120</t>
        </is>
      </c>
      <c r="F27" s="50" t="inlineStr">
        <is>
          <t>1010</t>
        </is>
      </c>
      <c r="G27" s="50" t="inlineStr">
        <is>
          <t>1100-DIR-IKT</t>
        </is>
      </c>
      <c r="H27" s="50" t="inlineStr">
        <is>
          <t>2026-10</t>
        </is>
      </c>
      <c r="I27" s="51" t="n">
        <v>5400000</v>
      </c>
    </row>
    <row r="28" ht="18" customHeight="1">
      <c r="B28" s="68" t="inlineStr">
        <is>
          <t>f44f7a2fada56412...</t>
        </is>
      </c>
      <c r="C28" s="50" t="inlineStr">
        <is>
          <t>VISMA_ERP</t>
        </is>
      </c>
      <c r="D28" s="50" t="n">
        <v>1</v>
      </c>
      <c r="E28" s="50" t="inlineStr">
        <is>
          <t>120</t>
        </is>
      </c>
      <c r="F28" s="50" t="inlineStr">
        <is>
          <t>1010</t>
        </is>
      </c>
      <c r="G28" s="50" t="inlineStr">
        <is>
          <t>1000-SJEF-ORGTEK</t>
        </is>
      </c>
      <c r="H28" s="50" t="inlineStr">
        <is>
          <t>2026-10</t>
        </is>
      </c>
      <c r="I28" s="51" t="n">
        <v>5400000</v>
      </c>
    </row>
    <row r="29" ht="18" customHeight="1">
      <c r="B29" s="68" t="inlineStr">
        <is>
          <t>5acf53be6dd0d926...</t>
        </is>
      </c>
      <c r="C29" s="50" t="inlineStr">
        <is>
          <t>VISMA_ERP</t>
        </is>
      </c>
      <c r="D29" s="50" t="n">
        <v>1</v>
      </c>
      <c r="E29" s="50" t="inlineStr">
        <is>
          <t>340</t>
        </is>
      </c>
      <c r="F29" s="50" t="inlineStr">
        <is>
          <t>1200</t>
        </is>
      </c>
      <c r="G29" s="50" t="inlineStr">
        <is>
          <t>3100-ENH-302</t>
        </is>
      </c>
      <c r="H29" s="50" t="inlineStr">
        <is>
          <t>2026-10</t>
        </is>
      </c>
      <c r="I29" s="51" t="n">
        <v>5082352.94</v>
      </c>
    </row>
    <row r="30" ht="18" customHeight="1">
      <c r="B30" s="68" t="inlineStr">
        <is>
          <t>f8a9bdba26201ec9...</t>
        </is>
      </c>
      <c r="C30" s="50" t="inlineStr">
        <is>
          <t>VISMA_ERP</t>
        </is>
      </c>
      <c r="D30" s="50" t="n">
        <v>1</v>
      </c>
      <c r="E30" s="50" t="inlineStr">
        <is>
          <t>254</t>
        </is>
      </c>
      <c r="F30" s="50" t="inlineStr">
        <is>
          <t>1010</t>
        </is>
      </c>
      <c r="G30" s="50" t="inlineStr">
        <is>
          <t>5210-ENH-402</t>
        </is>
      </c>
      <c r="H30" s="50" t="inlineStr">
        <is>
          <t>2026-10</t>
        </is>
      </c>
      <c r="I30" s="51" t="n">
        <v>4950000</v>
      </c>
    </row>
    <row r="31" ht="18" customHeight="1">
      <c r="B31" s="68" t="inlineStr">
        <is>
          <t>09e25402604d32e2...</t>
        </is>
      </c>
      <c r="C31" s="50" t="inlineStr">
        <is>
          <t>VISMA_ERP</t>
        </is>
      </c>
      <c r="D31" s="50" t="n">
        <v>1</v>
      </c>
      <c r="E31" s="50" t="inlineStr">
        <is>
          <t>120</t>
        </is>
      </c>
      <c r="F31" s="50" t="inlineStr">
        <is>
          <t>1010</t>
        </is>
      </c>
      <c r="G31" s="50" t="inlineStr">
        <is>
          <t>6000-DIR-OKONOMI</t>
        </is>
      </c>
      <c r="H31" s="50" t="inlineStr">
        <is>
          <t>2026-10</t>
        </is>
      </c>
      <c r="I31" s="51" t="n">
        <v>4500000</v>
      </c>
    </row>
    <row r="32" ht="18" customHeight="1">
      <c r="B32" s="68" t="inlineStr">
        <is>
          <t>4261d68c129b0ef2...</t>
        </is>
      </c>
      <c r="C32" s="50" t="inlineStr">
        <is>
          <t>VISMA_ERP</t>
        </is>
      </c>
      <c r="D32" s="50" t="n">
        <v>1</v>
      </c>
      <c r="E32" s="50" t="inlineStr">
        <is>
          <t>254</t>
        </is>
      </c>
      <c r="F32" s="50" t="inlineStr">
        <is>
          <t>1010</t>
        </is>
      </c>
      <c r="G32" s="50" t="inlineStr">
        <is>
          <t>5220-ENH-403</t>
        </is>
      </c>
      <c r="H32" s="50" t="inlineStr">
        <is>
          <t>2026-10</t>
        </is>
      </c>
      <c r="I32" s="51" t="n">
        <v>4320000</v>
      </c>
    </row>
    <row r="33" ht="18" customHeight="1">
      <c r="B33" s="68" t="inlineStr">
        <is>
          <t>83d43ef0d7bd059f...</t>
        </is>
      </c>
      <c r="C33" s="50" t="inlineStr">
        <is>
          <t>VISMA_ERP</t>
        </is>
      </c>
      <c r="D33" s="50" t="n">
        <v>1</v>
      </c>
      <c r="E33" s="50" t="inlineStr">
        <is>
          <t>202</t>
        </is>
      </c>
      <c r="F33" s="50" t="inlineStr">
        <is>
          <t>1010</t>
        </is>
      </c>
      <c r="G33" s="50" t="inlineStr">
        <is>
          <t>4102-ENH-204</t>
        </is>
      </c>
      <c r="H33" s="50" t="inlineStr">
        <is>
          <t>2026-10</t>
        </is>
      </c>
      <c r="I33" s="51" t="n">
        <v>4050000</v>
      </c>
    </row>
    <row r="34" ht="18" customHeight="1">
      <c r="B34" s="68" t="inlineStr">
        <is>
          <t>846002f154bff98f...</t>
        </is>
      </c>
      <c r="C34" s="50" t="inlineStr">
        <is>
          <t>VISMA_ERP</t>
        </is>
      </c>
      <c r="D34" s="50" t="n">
        <v>1</v>
      </c>
      <c r="E34" s="50" t="inlineStr">
        <is>
          <t>120</t>
        </is>
      </c>
      <c r="F34" s="50" t="inlineStr">
        <is>
          <t>1010</t>
        </is>
      </c>
      <c r="G34" s="50" t="inlineStr">
        <is>
          <t>1111-SEK-FINOPS</t>
        </is>
      </c>
      <c r="H34" s="50" t="inlineStr">
        <is>
          <t>2026-10</t>
        </is>
      </c>
      <c r="I34" s="51" t="n">
        <v>4050000</v>
      </c>
    </row>
    <row r="35" ht="18" customHeight="1">
      <c r="B35" s="68" t="inlineStr">
        <is>
          <t>2414f75755b06dd3...</t>
        </is>
      </c>
      <c r="C35" s="50" t="inlineStr">
        <is>
          <t>VISMA_ERP</t>
        </is>
      </c>
      <c r="D35" s="50" t="n">
        <v>1</v>
      </c>
      <c r="E35" s="50" t="inlineStr">
        <is>
          <t>120</t>
        </is>
      </c>
      <c r="F35" s="50" t="inlineStr">
        <is>
          <t>1200</t>
        </is>
      </c>
      <c r="G35" s="50" t="inlineStr">
        <is>
          <t>SENTRAL</t>
        </is>
      </c>
      <c r="H35" s="50" t="inlineStr">
        <is>
          <t>2026-10</t>
        </is>
      </c>
      <c r="I35" s="51" t="n">
        <v>3811764.71</v>
      </c>
    </row>
    <row r="36" ht="18" customHeight="1">
      <c r="B36" s="68" t="inlineStr">
        <is>
          <t>973cfe648195c42a...</t>
        </is>
      </c>
      <c r="C36" s="50" t="inlineStr">
        <is>
          <t>VISMA_ERP</t>
        </is>
      </c>
      <c r="D36" s="50" t="n">
        <v>1</v>
      </c>
      <c r="E36" s="50" t="inlineStr">
        <is>
          <t>202</t>
        </is>
      </c>
      <c r="F36" s="50" t="inlineStr">
        <is>
          <t>1010</t>
        </is>
      </c>
      <c r="G36" s="50" t="inlineStr">
        <is>
          <t>4101-ENH-203</t>
        </is>
      </c>
      <c r="H36" s="50" t="inlineStr">
        <is>
          <t>2026-10</t>
        </is>
      </c>
      <c r="I36" s="51" t="n">
        <v>3780000</v>
      </c>
    </row>
    <row r="37" ht="18" customHeight="1">
      <c r="B37" s="68" t="inlineStr">
        <is>
          <t>1339db6aa9773aa1...</t>
        </is>
      </c>
      <c r="C37" s="50" t="inlineStr">
        <is>
          <t>VISMA_ERP</t>
        </is>
      </c>
      <c r="D37" s="50" t="n">
        <v>1</v>
      </c>
      <c r="E37" s="50" t="inlineStr">
        <is>
          <t>360</t>
        </is>
      </c>
      <c r="F37" s="50" t="inlineStr">
        <is>
          <t>1010</t>
        </is>
      </c>
      <c r="G37" s="50" t="inlineStr">
        <is>
          <t>3300-ENH-301</t>
        </is>
      </c>
      <c r="H37" s="50" t="inlineStr">
        <is>
          <t>2026-10</t>
        </is>
      </c>
      <c r="I37" s="51" t="n">
        <v>3780000</v>
      </c>
    </row>
    <row r="38" ht="18" customHeight="1">
      <c r="B38" s="68" t="inlineStr">
        <is>
          <t>8520c37bfabdf0e8...</t>
        </is>
      </c>
      <c r="C38" s="50" t="inlineStr">
        <is>
          <t>VISMA_ERP</t>
        </is>
      </c>
      <c r="D38" s="50" t="n">
        <v>1</v>
      </c>
      <c r="E38" s="50" t="inlineStr">
        <is>
          <t>300</t>
        </is>
      </c>
      <c r="F38" s="50" t="inlineStr">
        <is>
          <t>1180</t>
        </is>
      </c>
      <c r="G38" s="50" t="inlineStr">
        <is>
          <t>2000-SJEF-KULTUR</t>
        </is>
      </c>
      <c r="H38" s="50" t="inlineStr">
        <is>
          <t>2026-10</t>
        </is>
      </c>
      <c r="I38" s="51" t="n">
        <v>3748235.29</v>
      </c>
    </row>
    <row r="39" ht="18" customHeight="1">
      <c r="B39" s="68" t="inlineStr">
        <is>
          <t>0344a2b5de0b9620...</t>
        </is>
      </c>
      <c r="C39" s="50" t="inlineStr">
        <is>
          <t>VISMA_ERP</t>
        </is>
      </c>
      <c r="D39" s="50" t="n">
        <v>1</v>
      </c>
      <c r="E39" s="50" t="inlineStr">
        <is>
          <t>222</t>
        </is>
      </c>
      <c r="F39" s="50" t="inlineStr">
        <is>
          <t>1010</t>
        </is>
      </c>
      <c r="G39" s="50" t="inlineStr">
        <is>
          <t>4100-ENH-202</t>
        </is>
      </c>
      <c r="H39" s="50" t="inlineStr">
        <is>
          <t>2026-10</t>
        </is>
      </c>
      <c r="I39" s="51" t="n">
        <v>3420000</v>
      </c>
    </row>
    <row r="40" ht="18" customHeight="1">
      <c r="B40" s="68" t="inlineStr">
        <is>
          <t>7956774920144d2c...</t>
        </is>
      </c>
      <c r="C40" s="50" t="inlineStr">
        <is>
          <t>VISMA_ERP</t>
        </is>
      </c>
      <c r="D40" s="50" t="n">
        <v>1</v>
      </c>
      <c r="E40" s="50" t="inlineStr">
        <is>
          <t>301</t>
        </is>
      </c>
      <c r="F40" s="50" t="inlineStr">
        <is>
          <t>1010</t>
        </is>
      </c>
      <c r="G40" s="50" t="inlineStr">
        <is>
          <t>2200-ENH-101</t>
        </is>
      </c>
      <c r="H40" s="50" t="inlineStr">
        <is>
          <t>2026-10</t>
        </is>
      </c>
      <c r="I40" s="51" t="n">
        <v>3150000</v>
      </c>
    </row>
    <row r="41" ht="18" customHeight="1">
      <c r="B41" s="68" t="inlineStr">
        <is>
          <t>cc78732ab9d70785...</t>
        </is>
      </c>
      <c r="C41" s="50" t="inlineStr">
        <is>
          <t>VISMA_ERP</t>
        </is>
      </c>
      <c r="D41" s="50" t="n">
        <v>1</v>
      </c>
      <c r="E41" s="50" t="inlineStr">
        <is>
          <t>330</t>
        </is>
      </c>
      <c r="F41" s="50" t="inlineStr">
        <is>
          <t>1270</t>
        </is>
      </c>
      <c r="G41" s="50" t="inlineStr">
        <is>
          <t>3000-SJEF-BYUTV</t>
        </is>
      </c>
      <c r="H41" s="50" t="inlineStr">
        <is>
          <t>2026-10</t>
        </is>
      </c>
      <c r="I41" s="51" t="n">
        <v>3017647.06</v>
      </c>
    </row>
    <row r="42" ht="18" customHeight="1">
      <c r="B42" s="68" t="inlineStr">
        <is>
          <t>858b6287e233bb95...</t>
        </is>
      </c>
      <c r="C42" s="50" t="inlineStr">
        <is>
          <t>VISMA_ERP</t>
        </is>
      </c>
      <c r="D42" s="50" t="n">
        <v>1</v>
      </c>
      <c r="E42" s="50" t="inlineStr">
        <is>
          <t>120</t>
        </is>
      </c>
      <c r="F42" s="50" t="inlineStr">
        <is>
          <t>1240</t>
        </is>
      </c>
      <c r="G42" s="50" t="inlineStr">
        <is>
          <t>1110-ENH-501</t>
        </is>
      </c>
      <c r="H42" s="50" t="inlineStr">
        <is>
          <t>2026-10</t>
        </is>
      </c>
      <c r="I42" s="51" t="n">
        <v>2880000</v>
      </c>
    </row>
    <row r="43" ht="18" customHeight="1">
      <c r="B43" s="68" t="inlineStr">
        <is>
          <t>0f71b5aa0390770d...</t>
        </is>
      </c>
      <c r="C43" s="50" t="inlineStr">
        <is>
          <t>VISMA_ERP</t>
        </is>
      </c>
      <c r="D43" s="50" t="n">
        <v>1</v>
      </c>
      <c r="E43" s="50" t="inlineStr">
        <is>
          <t>100</t>
        </is>
      </c>
      <c r="F43" s="50" t="inlineStr">
        <is>
          <t>1010</t>
        </is>
      </c>
      <c r="G43" s="50" t="inlineStr">
        <is>
          <t>6001-CTRL-FRANK</t>
        </is>
      </c>
      <c r="H43" s="50" t="inlineStr">
        <is>
          <t>2026-10</t>
        </is>
      </c>
      <c r="I43" s="51" t="n">
        <v>2700000</v>
      </c>
    </row>
    <row r="44" ht="18" customHeight="1">
      <c r="B44" s="68" t="inlineStr">
        <is>
          <t>2444e84ab503df9f...</t>
        </is>
      </c>
      <c r="C44" s="50" t="inlineStr">
        <is>
          <t>VISMA_ERP</t>
        </is>
      </c>
      <c r="D44" s="50" t="n">
        <v>1</v>
      </c>
      <c r="E44" s="50" t="inlineStr">
        <is>
          <t>211</t>
        </is>
      </c>
      <c r="F44" s="50" t="inlineStr">
        <is>
          <t>1010</t>
        </is>
      </c>
      <c r="G44" s="50" t="inlineStr">
        <is>
          <t>4210-ENH-211</t>
        </is>
      </c>
      <c r="H44" s="50" t="inlineStr">
        <is>
          <t>2026-10</t>
        </is>
      </c>
      <c r="I44" s="51" t="n">
        <v>2520000</v>
      </c>
    </row>
    <row r="45" ht="18" customHeight="1">
      <c r="B45" s="68" t="inlineStr">
        <is>
          <t>434b2422faed61c1...</t>
        </is>
      </c>
      <c r="C45" s="50" t="inlineStr">
        <is>
          <t>VISMA_ERP</t>
        </is>
      </c>
      <c r="D45" s="50" t="n">
        <v>1</v>
      </c>
      <c r="E45" s="50" t="inlineStr">
        <is>
          <t>120</t>
        </is>
      </c>
      <c r="F45" s="50" t="inlineStr">
        <is>
          <t>1010</t>
        </is>
      </c>
      <c r="G45" s="50" t="inlineStr">
        <is>
          <t>5000-SJEF-HELSE</t>
        </is>
      </c>
      <c r="H45" s="50" t="inlineStr">
        <is>
          <t>2026-10</t>
        </is>
      </c>
      <c r="I45" s="51" t="n">
        <v>2205000</v>
      </c>
    </row>
    <row r="46" ht="18" customHeight="1">
      <c r="B46" s="68" t="inlineStr">
        <is>
          <t>6347b3d4dab14a11...</t>
        </is>
      </c>
      <c r="C46" s="50" t="inlineStr">
        <is>
          <t>VISMA_ERP</t>
        </is>
      </c>
      <c r="D46" s="50" t="n">
        <v>1</v>
      </c>
      <c r="E46" s="50" t="inlineStr">
        <is>
          <t>345</t>
        </is>
      </c>
      <c r="F46" s="50" t="inlineStr">
        <is>
          <t>1180</t>
        </is>
      </c>
      <c r="G46" s="50" t="inlineStr">
        <is>
          <t>3101-SEK-AVLOP</t>
        </is>
      </c>
      <c r="H46" s="50" t="inlineStr">
        <is>
          <t>2026-10</t>
        </is>
      </c>
      <c r="I46" s="51" t="n">
        <v>2011764.71</v>
      </c>
    </row>
    <row r="47" ht="18" customHeight="1">
      <c r="B47" s="68" t="inlineStr">
        <is>
          <t>fd2764a9c55e99fc...</t>
        </is>
      </c>
      <c r="C47" s="50" t="inlineStr">
        <is>
          <t>VISMA_ERP</t>
        </is>
      </c>
      <c r="D47" s="50" t="n">
        <v>1</v>
      </c>
      <c r="E47" s="50" t="inlineStr">
        <is>
          <t>120</t>
        </is>
      </c>
      <c r="F47" s="50" t="inlineStr">
        <is>
          <t>1010</t>
        </is>
      </c>
      <c r="G47" s="50" t="inlineStr">
        <is>
          <t>4000-SJEF-OPPV</t>
        </is>
      </c>
      <c r="H47" s="50" t="inlineStr">
        <is>
          <t>2026-10</t>
        </is>
      </c>
      <c r="I47" s="51" t="n">
        <v>1980000</v>
      </c>
    </row>
    <row r="48" ht="18" customHeight="1">
      <c r="B48" s="68" t="inlineStr">
        <is>
          <t>ee1e862a52d0d6b8...</t>
        </is>
      </c>
      <c r="C48" s="50" t="inlineStr">
        <is>
          <t>VISMA_ERP</t>
        </is>
      </c>
      <c r="D48" s="50" t="n">
        <v>1</v>
      </c>
      <c r="E48" s="50" t="inlineStr">
        <is>
          <t>253</t>
        </is>
      </c>
      <c r="F48" s="50" t="inlineStr">
        <is>
          <t>1010</t>
        </is>
      </c>
      <c r="G48" s="50" t="inlineStr">
        <is>
          <t>5201-SEK-DEMENS</t>
        </is>
      </c>
      <c r="H48" s="50" t="inlineStr">
        <is>
          <t>2026-10</t>
        </is>
      </c>
      <c r="I48" s="51" t="n">
        <v>1620000</v>
      </c>
    </row>
    <row r="49" ht="18" customHeight="1">
      <c r="B49" s="68" t="inlineStr">
        <is>
          <t>746f216e8d956a20...</t>
        </is>
      </c>
      <c r="C49" s="50" t="inlineStr">
        <is>
          <t>VISMA_ERP</t>
        </is>
      </c>
      <c r="D49" s="50" t="n">
        <v>1</v>
      </c>
      <c r="E49" s="50" t="inlineStr">
        <is>
          <t>253</t>
        </is>
      </c>
      <c r="F49" s="50" t="inlineStr">
        <is>
          <t>1010</t>
        </is>
      </c>
      <c r="G49" s="50" t="inlineStr">
        <is>
          <t>5202-SEK-KORTTID</t>
        </is>
      </c>
      <c r="H49" s="50" t="inlineStr">
        <is>
          <t>2026-10</t>
        </is>
      </c>
      <c r="I49" s="51" t="n">
        <v>1440000</v>
      </c>
    </row>
    <row r="50" ht="18" customHeight="1">
      <c r="B50" s="68" t="inlineStr">
        <is>
          <t>4a7101a452fa070e...</t>
        </is>
      </c>
      <c r="C50" s="50" t="inlineStr">
        <is>
          <t>VISMA_ERP</t>
        </is>
      </c>
      <c r="D50" s="50" t="n">
        <v>1</v>
      </c>
      <c r="E50" s="50" t="inlineStr">
        <is>
          <t>120</t>
        </is>
      </c>
      <c r="F50" s="50" t="inlineStr">
        <is>
          <t>1010</t>
        </is>
      </c>
      <c r="G50" s="50" t="inlineStr">
        <is>
          <t>6003-CTRL-ERIK</t>
        </is>
      </c>
      <c r="H50" s="50" t="inlineStr">
        <is>
          <t>2026-10</t>
        </is>
      </c>
      <c r="I50" s="51" t="n">
        <v>1350000</v>
      </c>
    </row>
    <row r="51" ht="18" customHeight="1">
      <c r="B51" s="68" t="inlineStr">
        <is>
          <t>a2db315e4d6e5474...</t>
        </is>
      </c>
      <c r="C51" s="50" t="inlineStr">
        <is>
          <t>VISMA_ERP</t>
        </is>
      </c>
      <c r="D51" s="50" t="n">
        <v>1</v>
      </c>
      <c r="E51" s="50" t="inlineStr">
        <is>
          <t>350</t>
        </is>
      </c>
      <c r="F51" s="50" t="inlineStr">
        <is>
          <t>1270</t>
        </is>
      </c>
      <c r="G51" s="50" t="inlineStr">
        <is>
          <t>3100-DIR-VAR</t>
        </is>
      </c>
      <c r="H51" s="50" t="inlineStr">
        <is>
          <t>2026-10</t>
        </is>
      </c>
      <c r="I51" s="51" t="n">
        <v>1350000</v>
      </c>
    </row>
    <row r="52" ht="18" customHeight="1">
      <c r="B52" s="68" t="inlineStr">
        <is>
          <t>5966ad1b8d7dd5d1...</t>
        </is>
      </c>
      <c r="C52" s="50" t="inlineStr">
        <is>
          <t>VISMA_ERP</t>
        </is>
      </c>
      <c r="D52" s="50" t="n">
        <v>1</v>
      </c>
      <c r="E52" s="50" t="inlineStr">
        <is>
          <t>120</t>
        </is>
      </c>
      <c r="F52" s="50" t="inlineStr">
        <is>
          <t>1010</t>
        </is>
      </c>
      <c r="G52" s="50" t="inlineStr">
        <is>
          <t>6004-CTRL-KNUT</t>
        </is>
      </c>
      <c r="H52" s="50" t="inlineStr">
        <is>
          <t>2026-10</t>
        </is>
      </c>
      <c r="I52" s="51" t="n">
        <v>1350000</v>
      </c>
    </row>
    <row r="53" ht="18" customHeight="1">
      <c r="B53" s="68" t="inlineStr">
        <is>
          <t>ebed510756f9c9ca...</t>
        </is>
      </c>
      <c r="C53" s="50" t="inlineStr">
        <is>
          <t>VISMA_ERP</t>
        </is>
      </c>
      <c r="D53" s="50" t="n">
        <v>1</v>
      </c>
      <c r="E53" s="50" t="inlineStr">
        <is>
          <t>254</t>
        </is>
      </c>
      <c r="F53" s="50" t="inlineStr">
        <is>
          <t>1010</t>
        </is>
      </c>
      <c r="G53" s="50" t="inlineStr">
        <is>
          <t>2540</t>
        </is>
      </c>
      <c r="H53" s="50" t="inlineStr">
        <is>
          <t>2026-10</t>
        </is>
      </c>
      <c r="I53" s="51" t="n">
        <v>1305000</v>
      </c>
    </row>
    <row r="54" ht="18" customHeight="1">
      <c r="B54" s="68" t="inlineStr">
        <is>
          <t>949d9f9f8deb7d79...</t>
        </is>
      </c>
      <c r="C54" s="50" t="inlineStr">
        <is>
          <t>VISMA_ERP</t>
        </is>
      </c>
      <c r="D54" s="50" t="n">
        <v>1</v>
      </c>
      <c r="E54" s="50" t="inlineStr">
        <is>
          <t>253</t>
        </is>
      </c>
      <c r="F54" s="50" t="inlineStr">
        <is>
          <t>1090</t>
        </is>
      </c>
      <c r="G54" s="50" t="inlineStr">
        <is>
          <t>5230-ENH-404</t>
        </is>
      </c>
      <c r="H54" s="50" t="inlineStr">
        <is>
          <t>2026-10</t>
        </is>
      </c>
      <c r="I54" s="51" t="n">
        <v>1302352.94</v>
      </c>
    </row>
    <row r="55" ht="18" customHeight="1">
      <c r="B55" s="68" t="inlineStr">
        <is>
          <t>30bab5e6f33aa109...</t>
        </is>
      </c>
      <c r="C55" s="50" t="inlineStr">
        <is>
          <t>VISMA_ERP</t>
        </is>
      </c>
      <c r="D55" s="50" t="n">
        <v>1</v>
      </c>
      <c r="E55" s="50" t="inlineStr">
        <is>
          <t>100</t>
        </is>
      </c>
      <c r="F55" s="50" t="inlineStr">
        <is>
          <t>1250</t>
        </is>
      </c>
      <c r="G55" s="50" t="inlineStr">
        <is>
          <t>0000-KOMMDIR</t>
        </is>
      </c>
      <c r="H55" s="50" t="inlineStr">
        <is>
          <t>2026-10</t>
        </is>
      </c>
      <c r="I55" s="51" t="n">
        <v>1270588.24</v>
      </c>
    </row>
    <row r="56" ht="18" customHeight="1">
      <c r="B56" s="68" t="inlineStr">
        <is>
          <t>73876b4489b21d45...</t>
        </is>
      </c>
      <c r="C56" s="50" t="inlineStr">
        <is>
          <t>VISMA_ERP</t>
        </is>
      </c>
      <c r="D56" s="50" t="n">
        <v>1</v>
      </c>
      <c r="E56" s="50" t="inlineStr">
        <is>
          <t>202</t>
        </is>
      </c>
      <c r="F56" s="50" t="inlineStr">
        <is>
          <t>1010</t>
        </is>
      </c>
      <c r="G56" s="50" t="inlineStr">
        <is>
          <t>4104-SEK-INSP</t>
        </is>
      </c>
      <c r="H56" s="50" t="inlineStr">
        <is>
          <t>2026-10</t>
        </is>
      </c>
      <c r="I56" s="51" t="n">
        <v>1260000</v>
      </c>
    </row>
    <row r="57" ht="18" customHeight="1">
      <c r="B57" s="68" t="inlineStr">
        <is>
          <t>8b06c55159eb4337...</t>
        </is>
      </c>
      <c r="C57" s="50" t="inlineStr">
        <is>
          <t>VISMA_ERP</t>
        </is>
      </c>
      <c r="D57" s="50" t="n">
        <v>1</v>
      </c>
      <c r="E57" s="50" t="inlineStr">
        <is>
          <t>120</t>
        </is>
      </c>
      <c r="F57" s="50" t="inlineStr">
        <is>
          <t>1010</t>
        </is>
      </c>
      <c r="G57" s="50" t="inlineStr">
        <is>
          <t>6002-CTRL-MARIANNE</t>
        </is>
      </c>
      <c r="H57" s="50" t="inlineStr">
        <is>
          <t>2026-10</t>
        </is>
      </c>
      <c r="I57" s="51" t="n">
        <v>1260000</v>
      </c>
    </row>
    <row r="58" ht="18" customHeight="1">
      <c r="B58" s="68" t="inlineStr">
        <is>
          <t>8ec1b7f5865e89bc...</t>
        </is>
      </c>
      <c r="C58" s="50" t="inlineStr">
        <is>
          <t>VISMA_ERP</t>
        </is>
      </c>
      <c r="D58" s="50" t="n">
        <v>1</v>
      </c>
      <c r="E58" s="50" t="inlineStr">
        <is>
          <t>253</t>
        </is>
      </c>
      <c r="F58" s="50" t="inlineStr">
        <is>
          <t>1090</t>
        </is>
      </c>
      <c r="G58" s="50" t="inlineStr">
        <is>
          <t>5200-ENH-401</t>
        </is>
      </c>
      <c r="H58" s="50" t="inlineStr">
        <is>
          <t>2026-10</t>
        </is>
      </c>
      <c r="I58" s="51" t="n">
        <v>1233529.41</v>
      </c>
    </row>
    <row r="59" ht="18" customHeight="1">
      <c r="B59" s="68" t="inlineStr">
        <is>
          <t>28abe280316f18ee...</t>
        </is>
      </c>
      <c r="C59" s="50" t="inlineStr">
        <is>
          <t>VISMA_ERP</t>
        </is>
      </c>
      <c r="D59" s="50" t="n">
        <v>1</v>
      </c>
      <c r="E59" s="50" t="inlineStr">
        <is>
          <t>254</t>
        </is>
      </c>
      <c r="F59" s="50" t="inlineStr">
        <is>
          <t>1020</t>
        </is>
      </c>
      <c r="G59" s="50" t="inlineStr">
        <is>
          <t>5210-ENH-402</t>
        </is>
      </c>
      <c r="H59" s="50" t="inlineStr">
        <is>
          <t>2026-10</t>
        </is>
      </c>
      <c r="I59" s="51" t="n">
        <v>1064117.65</v>
      </c>
    </row>
    <row r="60" ht="18" customHeight="1">
      <c r="B60" s="68" t="inlineStr">
        <is>
          <t>f17cd9b8e213a7bc...</t>
        </is>
      </c>
      <c r="C60" s="50" t="inlineStr">
        <is>
          <t>VISMA_ERP</t>
        </is>
      </c>
      <c r="D60" s="50" t="n">
        <v>1</v>
      </c>
      <c r="E60" s="50" t="inlineStr">
        <is>
          <t>130</t>
        </is>
      </c>
      <c r="F60" s="50" t="inlineStr">
        <is>
          <t>1200</t>
        </is>
      </c>
      <c r="G60" s="50" t="inlineStr">
        <is>
          <t>6100-DIR-REGNSKAP</t>
        </is>
      </c>
      <c r="H60" s="50" t="inlineStr">
        <is>
          <t>2026-10</t>
        </is>
      </c>
      <c r="I60" s="51" t="n">
        <v>1032352.94</v>
      </c>
    </row>
    <row r="61" ht="18" customHeight="1">
      <c r="B61" s="68" t="inlineStr">
        <is>
          <t>8f4993915c418ba9...</t>
        </is>
      </c>
      <c r="C61" s="50" t="inlineStr">
        <is>
          <t>VISMA_ERP</t>
        </is>
      </c>
      <c r="D61" s="50" t="n">
        <v>1</v>
      </c>
      <c r="E61" s="50" t="inlineStr">
        <is>
          <t>254</t>
        </is>
      </c>
      <c r="F61" s="50" t="inlineStr">
        <is>
          <t>1250</t>
        </is>
      </c>
      <c r="G61" s="50" t="inlineStr">
        <is>
          <t>5220-ENH-403</t>
        </is>
      </c>
      <c r="H61" s="50" t="inlineStr">
        <is>
          <t>2026-10</t>
        </is>
      </c>
      <c r="I61" s="51" t="n">
        <v>1016470.59</v>
      </c>
    </row>
    <row r="62" ht="18" customHeight="1">
      <c r="B62" s="68" t="inlineStr">
        <is>
          <t>125183447063bac7...</t>
        </is>
      </c>
      <c r="C62" s="50" t="inlineStr">
        <is>
          <t>VISMA_ERP</t>
        </is>
      </c>
      <c r="D62" s="50" t="n">
        <v>1</v>
      </c>
      <c r="E62" s="50" t="inlineStr">
        <is>
          <t>360</t>
        </is>
      </c>
      <c r="F62" s="50" t="inlineStr">
        <is>
          <t>1600</t>
        </is>
      </c>
      <c r="G62" s="50" t="inlineStr">
        <is>
          <t>3300-ENH-301</t>
        </is>
      </c>
      <c r="H62" s="50" t="inlineStr">
        <is>
          <t>2026-10</t>
        </is>
      </c>
      <c r="I62" s="51" t="n">
        <v>1016470.59</v>
      </c>
    </row>
    <row r="63" ht="18" customHeight="1">
      <c r="B63" s="68" t="inlineStr">
        <is>
          <t>b45a3b7ff17d6098...</t>
        </is>
      </c>
      <c r="C63" s="50" t="inlineStr">
        <is>
          <t>VISMA_ERP</t>
        </is>
      </c>
      <c r="D63" s="50" t="n">
        <v>1</v>
      </c>
      <c r="E63" s="50" t="inlineStr">
        <is>
          <t>120</t>
        </is>
      </c>
      <c r="F63" s="50" t="inlineStr">
        <is>
          <t>1250</t>
        </is>
      </c>
      <c r="G63" s="50" t="inlineStr">
        <is>
          <t>1100-DIR-IKT</t>
        </is>
      </c>
      <c r="H63" s="50" t="inlineStr">
        <is>
          <t>2026-10</t>
        </is>
      </c>
      <c r="I63" s="51" t="n">
        <v>952941.1800000001</v>
      </c>
    </row>
    <row r="64" ht="18" customHeight="1">
      <c r="B64" s="68" t="inlineStr">
        <is>
          <t>258f664d016c16a6...</t>
        </is>
      </c>
      <c r="C64" s="50" t="inlineStr">
        <is>
          <t>VISMA_ERP</t>
        </is>
      </c>
      <c r="D64" s="50" t="n">
        <v>1</v>
      </c>
      <c r="E64" s="50" t="inlineStr">
        <is>
          <t>120</t>
        </is>
      </c>
      <c r="F64" s="50" t="inlineStr">
        <is>
          <t>1150</t>
        </is>
      </c>
      <c r="G64" s="50" t="inlineStr">
        <is>
          <t>1000-SJEF-ORGTEK</t>
        </is>
      </c>
      <c r="H64" s="50" t="inlineStr">
        <is>
          <t>2026-10</t>
        </is>
      </c>
      <c r="I64" s="51" t="n">
        <v>952941.1800000001</v>
      </c>
    </row>
  </sheetData>
  <mergeCells count="1">
    <mergeCell ref="B2:I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G7"/>
  <sheetViews>
    <sheetView showGridLines="1" workbookViewId="0">
      <selection activeCell="A1" sqref="A1"/>
    </sheetView>
  </sheetViews>
  <sheetFormatPr baseColWidth="8" defaultRowHeight="15"/>
  <cols>
    <col width="22" customWidth="1" min="2" max="2"/>
    <col width="24" customWidth="1" min="3" max="3"/>
    <col width="20" customWidth="1" min="4" max="4"/>
    <col width="20" customWidth="1" min="5" max="5"/>
    <col width="20" customWidth="1" min="6" max="6"/>
    <col width="14" customWidth="1" min="7" max="7"/>
  </cols>
  <sheetData>
    <row r="2" ht="28" customHeight="1">
      <c r="B2" s="1" t="inlineStr">
        <is>
          <t xml:space="preserve">  90_PIVOTS: STØTTE- OG AGGREGERINGSTABELLER FOR DASHBOARDVISUALER</t>
        </is>
      </c>
    </row>
    <row r="4">
      <c r="B4" s="55" t="inlineStr">
        <is>
          <t>Aggregert Enhetssammendrag (kilde for sektorsammenligning)</t>
        </is>
      </c>
    </row>
    <row r="5">
      <c r="B5" s="56" t="inlineStr">
        <is>
          <t>Enhet</t>
        </is>
      </c>
      <c r="C5" s="56" t="inlineStr">
        <is>
          <t>Sektor</t>
        </is>
      </c>
      <c r="D5" s="56" t="inlineStr">
        <is>
          <t>Budsjett YTD (NOK)</t>
        </is>
      </c>
      <c r="E5" s="56" t="inlineStr">
        <is>
          <t>Regnskap YTD (NOK)</t>
        </is>
      </c>
      <c r="F5" s="56" t="inlineStr">
        <is>
          <t>Avvik YTD (NOK)</t>
        </is>
      </c>
      <c r="G5" s="56" t="inlineStr">
        <is>
          <t>Avvik %</t>
        </is>
      </c>
    </row>
    <row r="6" ht="18" customHeight="1">
      <c r="B6" s="50" t="inlineStr">
        <is>
          <t>Kommunal Boenhet</t>
        </is>
      </c>
      <c r="C6" s="50" t="inlineStr">
        <is>
          <t>Helse og mestring</t>
        </is>
      </c>
      <c r="D6" s="51" t="n">
        <v>50339572</v>
      </c>
      <c r="E6" s="51" t="n">
        <v>47426244</v>
      </c>
      <c r="F6" s="70" t="n">
        <v>2913328</v>
      </c>
      <c r="G6" s="52" t="n">
        <v>0.058</v>
      </c>
    </row>
    <row r="7" ht="18" customHeight="1">
      <c r="B7" s="50" t="inlineStr">
        <is>
          <t>Kommunal Skole</t>
        </is>
      </c>
      <c r="C7" s="50" t="inlineStr">
        <is>
          <t>Oppvekst og utdanning</t>
        </is>
      </c>
      <c r="D7" s="51" t="n">
        <v>33591000</v>
      </c>
      <c r="E7" s="51" t="n">
        <v>36080000</v>
      </c>
      <c r="F7" s="70" t="n">
        <v>-2489000</v>
      </c>
      <c r="G7" s="52" t="n">
        <v>-0.074</v>
      </c>
    </row>
  </sheetData>
  <mergeCells count="1">
    <mergeCell ref="B2:G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F9"/>
  <sheetViews>
    <sheetView showGridLines="1" workbookViewId="0">
      <selection activeCell="A1" sqref="A1"/>
    </sheetView>
  </sheetViews>
  <sheetFormatPr baseColWidth="8" defaultRowHeight="15"/>
  <cols>
    <col width="14" customWidth="1" min="2" max="2"/>
    <col width="34" customWidth="1" min="3" max="3"/>
    <col width="44" customWidth="1" min="4" max="4"/>
    <col width="32" customWidth="1" min="5" max="5"/>
  </cols>
  <sheetData>
    <row r="2" ht="28" customHeight="1">
      <c r="B2" s="1" t="inlineStr">
        <is>
          <t xml:space="preserve">  91_HELPER: HJELPECELLER OG DYNAMISKE FORMELDRIVERE</t>
        </is>
      </c>
    </row>
    <row r="4" ht="18" customHeight="1">
      <c r="B4" s="56" t="inlineStr">
        <is>
          <t>Celle Ref</t>
        </is>
      </c>
      <c r="C4" s="56" t="inlineStr">
        <is>
          <t>Formel / Innhold</t>
        </is>
      </c>
      <c r="D4" s="56" t="inlineStr">
        <is>
          <t>Resultat</t>
        </is>
      </c>
      <c r="E4" s="56" t="inlineStr">
        <is>
          <t>Funksjon</t>
        </is>
      </c>
    </row>
    <row r="5" ht="18" customHeight="1">
      <c r="B5" s="57" t="inlineStr">
        <is>
          <t>B5</t>
        </is>
      </c>
      <c r="C5" s="71">
        <f>02_DASHBOARD_EXEC!B6</f>
        <v/>
      </c>
      <c r="D5" s="72" t="n">
        <v>83506244</v>
      </c>
      <c r="E5" s="59" t="inlineStr">
        <is>
          <t>Henter konsern regnskap YTD</t>
        </is>
      </c>
    </row>
    <row r="6" ht="18" customHeight="1">
      <c r="B6" s="57" t="inlineStr">
        <is>
          <t>B6</t>
        </is>
      </c>
      <c r="C6" s="71">
        <f>02_DASHBOARD_EXEC!E6</f>
        <v/>
      </c>
      <c r="D6" s="72" t="n">
        <v>83930572</v>
      </c>
      <c r="E6" s="59" t="inlineStr">
        <is>
          <t>Henter konsern budsjett YTD</t>
        </is>
      </c>
    </row>
    <row r="7" ht="18" customHeight="1">
      <c r="B7" s="57" t="inlineStr">
        <is>
          <t>B7</t>
        </is>
      </c>
      <c r="C7" s="71">
        <f>B6-B5</f>
        <v/>
      </c>
      <c r="D7" s="72" t="n">
        <v>424328</v>
      </c>
      <c r="E7" s="59" t="inlineStr">
        <is>
          <t>Beregner konsern avvik YTD (Budsjett - Regnskap)</t>
        </is>
      </c>
    </row>
    <row r="8" ht="18" customHeight="1">
      <c r="B8" s="57" t="inlineStr">
        <is>
          <t>B8</t>
        </is>
      </c>
      <c r="C8" s="71">
        <f>B7/B6</f>
        <v/>
      </c>
      <c r="D8" s="72" t="n">
        <v>0.00505</v>
      </c>
      <c r="E8" s="59" t="inlineStr">
        <is>
          <t>Beregner avviksprosent</t>
        </is>
      </c>
    </row>
    <row r="9" ht="18" customHeight="1">
      <c r="B9" s="57" t="inlineStr">
        <is>
          <t>B9</t>
        </is>
      </c>
      <c r="C9" s="71">
        <f>"Konsern: Regnskap er "&amp;TEXT(ABS(B7)/1000000,"0.0")&amp;" M kr "&amp;IF(B7&gt;0,"lavere enn budsjett","høyere enn budsjett")</f>
        <v/>
      </c>
      <c r="D9" s="72" t="inlineStr">
        <is>
          <t>Konsern: Regnskap er 0.4 M kr lavere enn budsjett</t>
        </is>
      </c>
      <c r="E9" s="59" t="inlineStr">
        <is>
          <t>Dynamisk narrative overskrift</t>
        </is>
      </c>
    </row>
  </sheetData>
  <mergeCells count="1">
    <mergeCell ref="B2:F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G13"/>
  <sheetViews>
    <sheetView showGridLines="1" workbookViewId="0">
      <selection activeCell="A1" sqref="A1"/>
    </sheetView>
  </sheetViews>
  <sheetFormatPr baseColWidth="8" defaultRowHeight="15"/>
  <cols>
    <col width="14" customWidth="1" min="2" max="2"/>
    <col width="30" customWidth="1" min="3" max="3"/>
    <col width="34" customWidth="1" min="4" max="4"/>
    <col width="18" customWidth="1" min="5" max="5"/>
    <col width="16" customWidth="1" min="6" max="6"/>
    <col width="14" customWidth="1" min="7" max="7"/>
  </cols>
  <sheetData>
    <row r="2" ht="28" customHeight="1">
      <c r="B2" s="1" t="inlineStr">
        <is>
          <t xml:space="preserve">  99_QA: DATAKVALITETSKONTROLL, INTEGRITETSSJEKK &amp; AVSTEMMING</t>
        </is>
      </c>
    </row>
    <row r="4">
      <c r="B4" s="56" t="inlineStr">
        <is>
          <t>Sjekk ID</t>
        </is>
      </c>
      <c r="C4" s="56" t="inlineStr">
        <is>
          <t>Kontrollområde</t>
        </is>
      </c>
      <c r="D4" s="56" t="inlineStr">
        <is>
          <t>Kriterium</t>
        </is>
      </c>
      <c r="E4" s="56" t="inlineStr">
        <is>
          <t>Faktisk Verdi</t>
        </is>
      </c>
      <c r="F4" s="56" t="inlineStr">
        <is>
          <t>Toleranse</t>
        </is>
      </c>
      <c r="G4" s="56" t="inlineStr">
        <is>
          <t>Resultat</t>
        </is>
      </c>
    </row>
    <row r="5" ht="20" customHeight="1">
      <c r="B5" s="57" t="inlineStr">
        <is>
          <t>QA-01</t>
        </is>
      </c>
      <c r="C5" s="60" t="inlineStr">
        <is>
          <t>Foreldreløse funksjonsnøkler</t>
        </is>
      </c>
      <c r="D5" s="59" t="inlineStr">
        <is>
          <t>0 orphans i Fact_Regnskap</t>
        </is>
      </c>
      <c r="E5" s="73" t="n">
        <v>0</v>
      </c>
      <c r="F5" s="59" t="n">
        <v>0</v>
      </c>
      <c r="G5" s="74" t="inlineStr">
        <is>
          <t>✅ PASS</t>
        </is>
      </c>
    </row>
    <row r="6" ht="20" customHeight="1">
      <c r="B6" s="57" t="inlineStr">
        <is>
          <t>QA-02</t>
        </is>
      </c>
      <c r="C6" s="60" t="inlineStr">
        <is>
          <t>Foreldreløse artsnøkler</t>
        </is>
      </c>
      <c r="D6" s="59" t="inlineStr">
        <is>
          <t>0 orphans i Fact_Regnskap</t>
        </is>
      </c>
      <c r="E6" s="73" t="n">
        <v>0</v>
      </c>
      <c r="F6" s="59" t="n">
        <v>0</v>
      </c>
      <c r="G6" s="74" t="inlineStr">
        <is>
          <t>✅ PASS</t>
        </is>
      </c>
    </row>
    <row r="7" ht="20" customHeight="1">
      <c r="B7" s="57" t="inlineStr">
        <is>
          <t>QA-03</t>
        </is>
      </c>
      <c r="C7" s="60" t="inlineStr">
        <is>
          <t>Foreldreløse ansvarsnøkler</t>
        </is>
      </c>
      <c r="D7" s="59" t="inlineStr">
        <is>
          <t>0 orphans i Fact_Regnskap</t>
        </is>
      </c>
      <c r="E7" s="73" t="n">
        <v>0</v>
      </c>
      <c r="F7" s="59" t="n">
        <v>0</v>
      </c>
      <c r="G7" s="74" t="inlineStr">
        <is>
          <t>✅ PASS</t>
        </is>
      </c>
    </row>
    <row r="8" ht="20" customHeight="1">
      <c r="B8" s="57" t="inlineStr">
        <is>
          <t>QA-04</t>
        </is>
      </c>
      <c r="C8" s="60" t="inlineStr">
        <is>
          <t>Foreldreløse datonøkler</t>
        </is>
      </c>
      <c r="D8" s="59" t="inlineStr">
        <is>
          <t>0 orphans i Fact_Regnskap</t>
        </is>
      </c>
      <c r="E8" s="73" t="n">
        <v>0</v>
      </c>
      <c r="F8" s="59" t="n">
        <v>0</v>
      </c>
      <c r="G8" s="74" t="inlineStr">
        <is>
          <t>✅ PASS</t>
        </is>
      </c>
    </row>
    <row r="9" ht="20" customHeight="1">
      <c r="B9" s="57" t="inlineStr">
        <is>
          <t>QA-05</t>
        </is>
      </c>
      <c r="C9" s="60" t="inlineStr">
        <is>
          <t>PII Skjerming (GDPR Port 4)</t>
        </is>
      </c>
      <c r="D9" s="59" t="inlineStr">
        <is>
          <t>0 FNR/DNR i stagingbeskrivelser</t>
        </is>
      </c>
      <c r="E9" s="73" t="n">
        <v>0</v>
      </c>
      <c r="F9" s="59" t="n">
        <v>0</v>
      </c>
      <c r="G9" s="74" t="inlineStr">
        <is>
          <t>✅ PASS</t>
        </is>
      </c>
    </row>
    <row r="10" ht="20" customHeight="1">
      <c r="B10" s="57" t="inlineStr">
        <is>
          <t>QA-06</t>
        </is>
      </c>
      <c r="C10" s="60" t="inlineStr">
        <is>
          <t>Bruttoprinsippet § 14-6</t>
        </is>
      </c>
      <c r="D10" s="59" t="inlineStr">
        <is>
          <t>Ingen negative driftsutgifter</t>
        </is>
      </c>
      <c r="E10" s="73" t="n">
        <v>0</v>
      </c>
      <c r="F10" s="59" t="n">
        <v>0</v>
      </c>
      <c r="G10" s="74" t="inlineStr">
        <is>
          <t>✅ PASS</t>
        </is>
      </c>
    </row>
    <row r="11" ht="20" customHeight="1">
      <c r="B11" s="57" t="inlineStr">
        <is>
          <t>QA-07</t>
        </is>
      </c>
      <c r="C11" s="60" t="inlineStr">
        <is>
          <t>Kryptografisk Hash Port 9</t>
        </is>
      </c>
      <c r="D11" s="59" t="inlineStr">
        <is>
          <t>100 % gyldige SHA-256 stempler</t>
        </is>
      </c>
      <c r="E11" s="73" t="inlineStr">
        <is>
          <t>100.0%</t>
        </is>
      </c>
      <c r="F11" s="59" t="inlineStr">
        <is>
          <t>100.0%</t>
        </is>
      </c>
      <c r="G11" s="74" t="inlineStr">
        <is>
          <t>✅ PASS</t>
        </is>
      </c>
    </row>
    <row r="12" ht="20" customHeight="1">
      <c r="B12" s="57" t="inlineStr">
        <is>
          <t>QA-08</t>
        </is>
      </c>
      <c r="C12" s="60" t="inlineStr">
        <is>
          <t>Rekonsiliering SQLite vs Parquet</t>
        </is>
      </c>
      <c r="D12" s="59" t="inlineStr">
        <is>
          <t>Maks differanse &lt; 0.01 kr</t>
        </is>
      </c>
      <c r="E12" s="73" t="inlineStr">
        <is>
          <t>0.00 kr</t>
        </is>
      </c>
      <c r="F12" s="59" t="inlineStr">
        <is>
          <t>0.00 kr</t>
        </is>
      </c>
      <c r="G12" s="74" t="inlineStr">
        <is>
          <t>✅ PASS</t>
        </is>
      </c>
    </row>
    <row r="13" ht="20" customHeight="1">
      <c r="B13" s="57" t="inlineStr">
        <is>
          <t>QA-09</t>
        </is>
      </c>
      <c r="C13" s="60" t="inlineStr">
        <is>
          <t>Monte Carlo orden</t>
        </is>
      </c>
      <c r="D13" s="59" t="inlineStr">
        <is>
          <t>P10 &lt;= P50 &lt;= P90 overholdt</t>
        </is>
      </c>
      <c r="E13" s="73" t="inlineStr">
        <is>
          <t>100.0%</t>
        </is>
      </c>
      <c r="F13" s="59" t="inlineStr">
        <is>
          <t>100.0%</t>
        </is>
      </c>
      <c r="G13" s="74" t="inlineStr">
        <is>
          <t>✅ PASS</t>
        </is>
      </c>
    </row>
  </sheetData>
  <mergeCells count="1">
    <mergeCell ref="B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2026-10-18T15:08:52Z</dcterms:created>
  <dcterms:modified xmlns:dcterms="http://purl.org/dc/terms/" xmlns:xsi="http://www.w3.org/2001/XMLSchema-instance" xsi:type="dcterms:W3CDTF">2026-10-18T15:08:52Z</dcterms:modified>
</cp:coreProperties>
</file>