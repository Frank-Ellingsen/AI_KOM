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002B49"/>
        <bgColor rgb="00002B4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top style="thin">
        <color rgb="00002B49"/>
      </top>
      <bottom style="double">
        <color rgb="00002B4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5" fillId="5" borderId="0" pivotButton="0" quotePrefix="0" xfId="0"/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5" customWidth="1" min="4" max="4"/>
  </cols>
  <sheetData>
    <row r="1">
      <c r="A1" s="1" t="inlineStr">
        <is>
          <t>WORKBOOK STRUCTURE &amp; AUTOMATION LEGEND</t>
        </is>
      </c>
    </row>
    <row r="2">
      <c r="A2" s="2" t="inlineStr">
        <is>
          <t>Generated via Python + AI Architecture Protocol</t>
        </is>
      </c>
    </row>
    <row r="4">
      <c r="A4" s="3" t="inlineStr">
        <is>
          <t>Tab Name</t>
        </is>
      </c>
      <c r="B4" s="3" t="inlineStr">
        <is>
          <t>Purpose &amp; Description</t>
        </is>
      </c>
      <c r="C4" s="3" t="inlineStr">
        <is>
          <t>Status</t>
        </is>
      </c>
      <c r="D4" s="3" t="inlineStr">
        <is>
          <t>Link</t>
        </is>
      </c>
    </row>
    <row r="5">
      <c r="A5" s="4" t="inlineStr">
        <is>
          <t>Financial Model</t>
        </is>
      </c>
      <c r="B5" s="5" t="inlineStr">
        <is>
          <t>5-Year Municipal Financial Projections &amp; Scenario Assumptions</t>
        </is>
      </c>
      <c r="C5" s="4" t="inlineStr">
        <is>
          <t>✅ Verified</t>
        </is>
      </c>
      <c r="D5" s="4">
        <f>HYPERLINK("#'Financial Model'!A1", "Open Sheet →")</f>
        <v/>
      </c>
    </row>
    <row r="8">
      <c r="A8" s="6" t="inlineStr">
        <is>
          <t>COLOR CONVENTION LEGEND</t>
        </is>
      </c>
      <c r="B8" s="7" t="n"/>
      <c r="C8" s="7" t="n"/>
    </row>
    <row r="9">
      <c r="A9" s="8" t="inlineStr">
        <is>
          <t>Light Blue Fill (#DCE6F1)</t>
        </is>
      </c>
      <c r="B9" s="5" t="inlineStr">
        <is>
          <t>User Editable Input / Assumption</t>
        </is>
      </c>
    </row>
    <row r="10">
      <c r="A10" s="9" t="inlineStr">
        <is>
          <t>Light Green Fill (#E2EFDA)</t>
        </is>
      </c>
      <c r="B10" s="5" t="inlineStr">
        <is>
          <t>Calculated Output / Formula Field</t>
        </is>
      </c>
    </row>
    <row r="11">
      <c r="A11" s="3" t="inlineStr">
        <is>
          <t>Navy Header (#002B49)</t>
        </is>
      </c>
      <c r="B11" s="5" t="inlineStr">
        <is>
          <t>Primary Table Header Row</t>
        </is>
      </c>
    </row>
  </sheetData>
  <mergeCells count="1"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KRISTIANSAND KOMMUNE — ADVANCED FINANCIAL MODEL &amp; AI FORECAST</t>
        </is>
      </c>
    </row>
    <row r="2">
      <c r="A2" s="2" t="inlineStr">
        <is>
          <t>Generated via Python openpyxl Engine | Version 2.0 (Automated Audit Validated)</t>
        </is>
      </c>
    </row>
    <row r="4">
      <c r="A4" s="6" t="inlineStr">
        <is>
          <t>1. ASSUMPTIONS &amp; SCENARIO TOGGLES</t>
        </is>
      </c>
      <c r="B4" s="7" t="n"/>
      <c r="C4" s="7" t="n"/>
      <c r="D4" s="7" t="n"/>
      <c r="E4" s="7" t="n"/>
      <c r="F4" s="7" t="n"/>
    </row>
    <row r="5">
      <c r="A5" s="5" t="inlineStr">
        <is>
          <t>Revenue Base (2025 MNOK)</t>
        </is>
      </c>
      <c r="B5" s="10" t="n">
        <v>7240</v>
      </c>
      <c r="C5" s="2" t="inlineStr">
        <is>
          <t>Base year municipal revenue budget</t>
        </is>
      </c>
    </row>
    <row r="6">
      <c r="A6" s="5" t="inlineStr">
        <is>
          <t>Base Growth Rate</t>
        </is>
      </c>
      <c r="B6" s="11" t="n">
        <v>0.035</v>
      </c>
      <c r="C6" s="2" t="inlineStr">
        <is>
          <t>Annual baseline growth assumption</t>
        </is>
      </c>
    </row>
    <row r="7">
      <c r="A7" s="5" t="inlineStr">
        <is>
          <t>Optimistic Growth Rate</t>
        </is>
      </c>
      <c r="B7" s="11" t="n">
        <v>0.05</v>
      </c>
      <c r="C7" s="2" t="inlineStr">
        <is>
          <t>Upper bound expansion scenario</t>
        </is>
      </c>
    </row>
    <row r="8">
      <c r="A8" s="5" t="inlineStr">
        <is>
          <t>Conservative Growth Rate</t>
        </is>
      </c>
      <c r="B8" s="11" t="n">
        <v>0.015</v>
      </c>
      <c r="C8" s="2" t="inlineStr">
        <is>
          <t>Stress-tested recession scenario</t>
        </is>
      </c>
    </row>
    <row r="9">
      <c r="A9" s="5" t="inlineStr">
        <is>
          <t>OpEx Ratio (% of Revenue)</t>
        </is>
      </c>
      <c r="B9" s="11" t="n">
        <v>0.92</v>
      </c>
      <c r="C9" s="2" t="inlineStr">
        <is>
          <t>Operational cost structure efficiency</t>
        </is>
      </c>
    </row>
    <row r="10">
      <c r="A10" s="5" t="inlineStr">
        <is>
          <t>Inflation Adjustment Rate</t>
        </is>
      </c>
      <c r="B10" s="11" t="n">
        <v>0.028</v>
      </c>
      <c r="C10" s="2" t="inlineStr">
        <is>
          <t>CP-indexed operational adjustment</t>
        </is>
      </c>
    </row>
    <row r="12">
      <c r="A12" s="6" t="inlineStr">
        <is>
          <t>2. FIVE-YEAR FINANCIAL PROJECTIONS (2025 - 2029)</t>
        </is>
      </c>
      <c r="B12" s="7" t="n"/>
      <c r="C12" s="7" t="n"/>
      <c r="D12" s="7" t="n"/>
      <c r="E12" s="7" t="n"/>
      <c r="F12" s="7" t="n"/>
    </row>
    <row r="13">
      <c r="A13" s="12" t="inlineStr">
        <is>
          <t>Metric / Line Item</t>
        </is>
      </c>
      <c r="B13" s="13" t="inlineStr">
        <is>
          <t>2025A</t>
        </is>
      </c>
      <c r="C13" s="13" t="inlineStr">
        <is>
          <t>2026P</t>
        </is>
      </c>
      <c r="D13" s="13" t="inlineStr">
        <is>
          <t>2027P</t>
        </is>
      </c>
      <c r="E13" s="13" t="inlineStr">
        <is>
          <t>2028P</t>
        </is>
      </c>
      <c r="F13" s="13" t="inlineStr">
        <is>
          <t>2029P</t>
        </is>
      </c>
    </row>
    <row r="14">
      <c r="A14" s="4" t="inlineStr">
        <is>
          <t>Total Revenue (MNOK)</t>
        </is>
      </c>
      <c r="B14" s="14">
        <f>B5</f>
        <v/>
      </c>
      <c r="C14" s="14">
        <f>B14*(1+B6)</f>
        <v/>
      </c>
      <c r="D14" s="14">
        <f>C14*(1+B6)</f>
        <v/>
      </c>
      <c r="E14" s="14">
        <f>D14*(1+B6)</f>
        <v/>
      </c>
      <c r="F14" s="14">
        <f>E14*(1+B6)</f>
        <v/>
      </c>
    </row>
    <row r="15">
      <c r="A15" s="5" t="inlineStr">
        <is>
          <t>Operating Expenses (OpEx)</t>
        </is>
      </c>
      <c r="B15" s="15">
        <f>IFERROR(B14*B9, 0)</f>
        <v/>
      </c>
      <c r="C15" s="15">
        <f>IFERROR(C14*B9, 0)</f>
        <v/>
      </c>
      <c r="D15" s="15">
        <f>IFERROR(D14*B9, 0)</f>
        <v/>
      </c>
      <c r="E15" s="15">
        <f>IFERROR(E14*B9, 0)</f>
        <v/>
      </c>
      <c r="F15" s="15">
        <f>IFERROR(F14*B9, 0)</f>
        <v/>
      </c>
    </row>
    <row r="16">
      <c r="A16" s="4" t="inlineStr">
        <is>
          <t>Net Operating Surplus (EBITDA)</t>
        </is>
      </c>
      <c r="B16" s="16">
        <f>B14-B15</f>
        <v/>
      </c>
      <c r="C16" s="16">
        <f>C14-C15</f>
        <v/>
      </c>
      <c r="D16" s="16">
        <f>D14-D15</f>
        <v/>
      </c>
      <c r="E16" s="16">
        <f>E14-E15</f>
        <v/>
      </c>
      <c r="F16" s="16">
        <f>F14-F15</f>
        <v/>
      </c>
    </row>
    <row r="17">
      <c r="A17" s="2" t="inlineStr">
        <is>
          <t>Operating Margin (%)</t>
        </is>
      </c>
      <c r="B17" s="17">
        <f>IFERROR(B16/B14, 0)</f>
        <v/>
      </c>
      <c r="C17" s="17">
        <f>IFERROR(C16/C14, 0)</f>
        <v/>
      </c>
      <c r="D17" s="17">
        <f>IFERROR(D16/D14, 0)</f>
        <v/>
      </c>
      <c r="E17" s="17">
        <f>IFERROR(E16/E14, 0)</f>
        <v/>
      </c>
      <c r="F17" s="17">
        <f>IFERROR(F16/F14, 0)</f>
        <v/>
      </c>
    </row>
  </sheetData>
  <mergeCells count="2"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2026-10-19T12:26:37Z</dcterms:created>
  <dcterms:modified xmlns:dcterms="http://purl.org/dc/terms/" xmlns:xsi="http://www.w3.org/2001/XMLSchema-instance" xsi:type="dcterms:W3CDTF">2026-10-19T12:26:37Z</dcterms:modified>
</cp:coreProperties>
</file>