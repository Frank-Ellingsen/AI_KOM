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kt" sheetId="1" state="visible" r:id="rId1"/>
    <sheet xmlns:r="http://schemas.openxmlformats.org/officeDocument/2006/relationships" name="Selvkostkalkyle" sheetId="2" state="visible" r:id="rId2"/>
    <sheet xmlns:r="http://schemas.openxmlformats.org/officeDocument/2006/relationships" name="Vertskommuneoppgjø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kr;(#,##0 kr);&quot;-&quot;"/>
  </numFmts>
  <fonts count="7">
    <font>
      <name val="Calibri"/>
      <family val="2"/>
      <color theme="1"/>
      <sz val="11"/>
      <scheme val="minor"/>
    </font>
    <font>
      <name val="Calibri"/>
      <b val="1"/>
      <color rgb="00002B49"/>
      <sz val="14"/>
    </font>
    <font>
      <name val="Calibri"/>
      <i val="1"/>
      <sz val="10"/>
    </font>
    <font>
      <name val="Calibri"/>
      <b val="1"/>
      <color rgb="00002B49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2B49"/>
      </top>
      <bottom style="double">
        <color rgb="00002B4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2" borderId="0" pivotButton="0" quotePrefix="0" xfId="0"/>
    <xf numFmtId="0" fontId="4" fillId="5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5" fontId="6" fillId="3" borderId="0" pivotButton="0" quotePrefix="0" xfId="0"/>
    <xf numFmtId="165" fontId="6" fillId="4" borderId="0" pivotButton="0" quotePrefix="0" xfId="0"/>
    <xf numFmtId="165" fontId="2" fillId="3" borderId="0" pivotButton="0" quotePrefix="0" xfId="0"/>
    <xf numFmtId="165" fontId="5" fillId="6" borderId="1" pivotButton="0" quotePrefix="0" xfId="0"/>
    <xf numFmtId="165" fontId="5" fillId="4" borderId="0" pivotButton="0" quotePrefix="0" xfId="0"/>
    <xf numFmtId="164" fontId="5" fillId="4" borderId="0" pivotButton="0" quotePrefix="0" xfId="0"/>
    <xf numFmtId="165" fontId="5" fillId="4" borderId="2" pivotButton="0" quotePrefix="0" xfId="0"/>
    <xf numFmtId="3" fontId="6" fillId="3" borderId="0" pivotButton="0" quotePrefix="0" xfId="0"/>
    <xf numFmtId="3" fontId="5" fillId="6" borderId="0" pivotButton="0" quotePrefix="0" xfId="0"/>
    <xf numFmtId="164" fontId="5" fillId="6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5" fontId="5" fillId="6" borderId="0" pivotButton="0" quotePrefix="0" xfId="0"/>
    <xf numFmtId="165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</cols>
  <sheetData>
    <row r="1">
      <c r="A1" s="1" t="inlineStr">
        <is>
          <t>KRISTIANSAND KOMMUNE — SELVKOST OG VERTSKOMMUNEOBREGNING</t>
        </is>
      </c>
    </row>
    <row r="2">
      <c r="A2" s="2" t="inlineStr">
        <is>
          <t>Generert: 2026-10-19 | Versjon 1.0 (Kommuneloven § 14-6 &amp; Selvkostforskriften)</t>
        </is>
      </c>
    </row>
    <row r="4">
      <c r="A4" s="3" t="inlineStr">
        <is>
          <t>Faneoversikt og Modellarkitektur</t>
        </is>
      </c>
    </row>
    <row r="5">
      <c r="A5" s="4" t="inlineStr">
        <is>
          <t>Fane</t>
        </is>
      </c>
      <c r="B5" s="4" t="inlineStr">
        <is>
          <t>Beskrivelse</t>
        </is>
      </c>
      <c r="C5" s="4" t="inlineStr">
        <is>
          <t>Hovedformål</t>
        </is>
      </c>
    </row>
    <row r="6">
      <c r="A6" s="5" t="inlineStr">
        <is>
          <t>Oversikt</t>
        </is>
      </c>
      <c r="B6" s="6" t="inlineStr">
        <is>
          <t>Innholdsfortegnelse og fargeforklaring</t>
        </is>
      </c>
      <c r="C6" s="6" t="inlineStr">
        <is>
          <t>Navigasjon og modellstandarder</t>
        </is>
      </c>
    </row>
    <row r="7">
      <c r="A7" s="5" t="inlineStr">
        <is>
          <t>Selvkostkalkyle</t>
        </is>
      </c>
      <c r="B7" s="6" t="inlineStr">
        <is>
          <t>5-års selvkostberegning og fondsavsetning</t>
        </is>
      </c>
      <c r="C7" s="6" t="inlineStr">
        <is>
          <t>Beregne selvkostgrad, gebyrbehov og selvkostfond jf. selvkostforskriften</t>
        </is>
      </c>
    </row>
    <row r="8">
      <c r="A8" s="5" t="inlineStr">
        <is>
          <t>Vertskommuneoppgjør</t>
        </is>
      </c>
      <c r="B8" s="6" t="inlineStr">
        <is>
          <t>Kostnadsfordeling for samarbeidende kommuner</t>
        </is>
      </c>
      <c r="C8" s="6" t="inlineStr">
        <is>
          <t>Beregne refusjonskrav, overhead og MVA-kompensasjon for eksterne tjenester</t>
        </is>
      </c>
    </row>
    <row r="11">
      <c r="A11" s="3" t="inlineStr">
        <is>
          <t>Fargeforklaring (Cellestil-standard)</t>
        </is>
      </c>
    </row>
    <row r="12">
      <c r="A12" s="7" t="inlineStr">
        <is>
          <t>Lyseblå celler</t>
        </is>
      </c>
      <c r="B12" s="6" t="inlineStr">
        <is>
          <t>Endrbare forutsetninger / Inndata</t>
        </is>
      </c>
    </row>
    <row r="13">
      <c r="A13" s="8" t="inlineStr">
        <is>
          <t>Lysegrønne celler</t>
        </is>
      </c>
      <c r="B13" s="6" t="inlineStr">
        <is>
          <t>Beregnede formelceller / Måltall</t>
        </is>
      </c>
    </row>
    <row r="14">
      <c r="A14" s="9" t="inlineStr">
        <is>
          <t>Mørkeblå overskrifter</t>
        </is>
      </c>
      <c r="B14" s="6" t="inlineStr">
        <is>
          <t>Hovedseksjoner og summeringslinjer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SELVKOSTKALKYLE MED FONDSAVSTEMMING (KOSTRA)</t>
        </is>
      </c>
    </row>
    <row r="3">
      <c r="A3" s="10" t="inlineStr">
        <is>
          <t>1. KALKULATORISKE FORUTSETNINGER</t>
        </is>
      </c>
    </row>
    <row r="4">
      <c r="A4" s="6" t="inlineStr">
        <is>
          <t>Kalkulatorisk rentesats (Kredittilsynets/SSB-rente)</t>
        </is>
      </c>
      <c r="B4" s="11" t="n">
        <v>0.038</v>
      </c>
    </row>
    <row r="5">
      <c r="A5" s="6" t="inlineStr">
        <is>
          <t>Indirekte kostnadsandel (Overhead %)</t>
        </is>
      </c>
      <c r="B5" s="11" t="n">
        <v>0.08500000000000001</v>
      </c>
    </row>
    <row r="6">
      <c r="A6" s="6" t="inlineStr">
        <is>
          <t>Inngående Selvkostfond (2024)</t>
        </is>
      </c>
      <c r="B6" s="12" t="n">
        <v>1250000</v>
      </c>
    </row>
    <row r="8">
      <c r="A8" s="10" t="inlineStr">
        <is>
          <t>2. SELVKOSTOPSPILL OG REGNSKAP (2024–2028)</t>
        </is>
      </c>
    </row>
    <row r="9">
      <c r="A9" s="4" t="inlineStr">
        <is>
          <t>Kostnadskomponent / Regnskapslinje</t>
        </is>
      </c>
      <c r="B9" s="4" t="inlineStr">
        <is>
          <t>2024</t>
        </is>
      </c>
      <c r="C9" s="4" t="inlineStr">
        <is>
          <t>2025</t>
        </is>
      </c>
      <c r="D9" s="4" t="inlineStr">
        <is>
          <t>2026</t>
        </is>
      </c>
      <c r="E9" s="4" t="inlineStr">
        <is>
          <t>2027</t>
        </is>
      </c>
      <c r="F9" s="4" t="inlineStr">
        <is>
          <t>2028</t>
        </is>
      </c>
    </row>
    <row r="10">
      <c r="A10" s="6" t="inlineStr">
        <is>
          <t>Direkte driftskostnader (Lønn, varekjøp, fremmede tjenester)</t>
        </is>
      </c>
      <c r="B10" s="13" t="n">
        <v>12500000</v>
      </c>
      <c r="C10" s="13" t="n">
        <v>13100000</v>
      </c>
      <c r="D10" s="13" t="n">
        <v>13800000</v>
      </c>
      <c r="E10" s="13" t="n">
        <v>14200000</v>
      </c>
      <c r="F10" s="13" t="n">
        <v>14700000</v>
      </c>
    </row>
    <row r="11">
      <c r="A11" s="6" t="inlineStr">
        <is>
          <t>Indirekte driftskostnader (Henførte felleskostnader / Admin)</t>
        </is>
      </c>
      <c r="B11" s="14">
        <f>B10*B5</f>
        <v/>
      </c>
      <c r="C11" s="14">
        <f>C10*B5</f>
        <v/>
      </c>
      <c r="D11" s="14">
        <f>D10*B5</f>
        <v/>
      </c>
      <c r="E11" s="14">
        <f>E10*B5</f>
        <v/>
      </c>
      <c r="F11" s="14">
        <f>F10*B5</f>
        <v/>
      </c>
    </row>
    <row r="12">
      <c r="A12" s="6" t="inlineStr">
        <is>
          <t>Kalkulatoriske avskrivninger (Avskrivningsplan)</t>
        </is>
      </c>
      <c r="B12" s="13" t="n">
        <v>1800000</v>
      </c>
      <c r="C12" s="13" t="n">
        <v>1850000</v>
      </c>
      <c r="D12" s="13" t="n">
        <v>1900000</v>
      </c>
      <c r="E12" s="13" t="n">
        <v>1950000</v>
      </c>
      <c r="F12" s="13" t="n">
        <v>2000000</v>
      </c>
    </row>
    <row r="13">
      <c r="A13" s="2" t="inlineStr">
        <is>
          <t xml:space="preserve">  ↳ Netto realkapitalgrunnlag (for kalkulatorisk rente)</t>
        </is>
      </c>
      <c r="B13" s="15" t="n">
        <v>25000000</v>
      </c>
      <c r="C13" s="15" t="n">
        <v>24000000</v>
      </c>
      <c r="D13" s="15" t="n">
        <v>23000000</v>
      </c>
      <c r="E13" s="15" t="n">
        <v>22000000</v>
      </c>
      <c r="F13" s="15" t="n">
        <v>21000000</v>
      </c>
    </row>
    <row r="14">
      <c r="A14" s="6" t="inlineStr">
        <is>
          <t>Kalkulatorisk rente på kapitalkostnad</t>
        </is>
      </c>
      <c r="B14" s="14">
        <f>B13*B4</f>
        <v/>
      </c>
      <c r="C14" s="14">
        <f>C13*B4</f>
        <v/>
      </c>
      <c r="D14" s="14">
        <f>D13*B4</f>
        <v/>
      </c>
      <c r="E14" s="14">
        <f>E13*B4</f>
        <v/>
      </c>
      <c r="F14" s="14">
        <f>F13*B4</f>
        <v/>
      </c>
    </row>
    <row r="15">
      <c r="A15" s="5" t="inlineStr">
        <is>
          <t>TOTALT SELVKOSTKRAV (Samlede selvkostkostnader)</t>
        </is>
      </c>
      <c r="B15" s="16">
        <f>SUM(B10:B12)+B14</f>
        <v/>
      </c>
      <c r="C15" s="16">
        <f>SUM(C10:C12)+C14</f>
        <v/>
      </c>
      <c r="D15" s="16">
        <f>SUM(D10:D12)+D14</f>
        <v/>
      </c>
      <c r="E15" s="16">
        <f>SUM(E10:E12)+E14</f>
        <v/>
      </c>
      <c r="F15" s="16">
        <f>SUM(F10:F12)+F14</f>
        <v/>
      </c>
    </row>
    <row r="16">
      <c r="A16" s="6" t="inlineStr">
        <is>
          <t>Gebyrinntekter / Salgsinntekter (Art 1600-1700)</t>
        </is>
      </c>
      <c r="B16" s="13" t="n">
        <v>15200000</v>
      </c>
      <c r="C16" s="13" t="n">
        <v>16000000</v>
      </c>
      <c r="D16" s="13" t="n">
        <v>17200000</v>
      </c>
      <c r="E16" s="13" t="n">
        <v>17500000</v>
      </c>
      <c r="F16" s="13" t="n">
        <v>18000000</v>
      </c>
    </row>
    <row r="17">
      <c r="A17" s="5" t="inlineStr">
        <is>
          <t>ÅRETS SELVKOSTRESULTAT (Overskudd / Underskudd)</t>
        </is>
      </c>
      <c r="B17" s="17">
        <f>B16-B15</f>
        <v/>
      </c>
      <c r="C17" s="17">
        <f>C16-C15</f>
        <v/>
      </c>
      <c r="D17" s="17">
        <f>D16-D15</f>
        <v/>
      </c>
      <c r="E17" s="17">
        <f>E16-E15</f>
        <v/>
      </c>
      <c r="F17" s="17">
        <f>F16-F15</f>
        <v/>
      </c>
    </row>
    <row r="18">
      <c r="A18" s="5" t="inlineStr">
        <is>
          <t>Selvkostgrad (%)</t>
        </is>
      </c>
      <c r="B18" s="18">
        <f>IFERROR(B16/B15, 0)</f>
        <v/>
      </c>
      <c r="C18" s="18">
        <f>IFERROR(C16/C15, 0)</f>
        <v/>
      </c>
      <c r="D18" s="18">
        <f>IFERROR(D16/D15, 0)</f>
        <v/>
      </c>
      <c r="E18" s="18">
        <f>IFERROR(E16/E15, 0)</f>
        <v/>
      </c>
      <c r="F18" s="18">
        <f>IFERROR(F16/F15, 0)</f>
        <v/>
      </c>
    </row>
    <row r="20">
      <c r="A20" s="10" t="inlineStr">
        <is>
          <t>3. SELVKOSTFOND OGG FONDSAVSTEMMING (5-ÅRS FREMFØRING)</t>
        </is>
      </c>
    </row>
    <row r="21">
      <c r="A21" s="4" t="inlineStr">
        <is>
          <t>Kostnadskomponent / Regnskapslinje</t>
        </is>
      </c>
      <c r="B21" s="4" t="inlineStr">
        <is>
          <t>2024</t>
        </is>
      </c>
      <c r="C21" s="4" t="inlineStr">
        <is>
          <t>2025</t>
        </is>
      </c>
      <c r="D21" s="4" t="inlineStr">
        <is>
          <t>2026</t>
        </is>
      </c>
      <c r="E21" s="4" t="inlineStr">
        <is>
          <t>2027</t>
        </is>
      </c>
      <c r="F21" s="4" t="inlineStr">
        <is>
          <t>2028</t>
        </is>
      </c>
    </row>
    <row r="22">
      <c r="A22" s="6" t="inlineStr">
        <is>
          <t>Inngående Selvkostfond (01.01)</t>
        </is>
      </c>
      <c r="B22" s="14">
        <f>B6</f>
        <v/>
      </c>
      <c r="C22" s="14">
        <f>B25</f>
        <v/>
      </c>
      <c r="D22" s="14">
        <f>C25</f>
        <v/>
      </c>
      <c r="E22" s="14">
        <f>D25</f>
        <v/>
      </c>
      <c r="F22" s="14">
        <f>E25</f>
        <v/>
      </c>
    </row>
    <row r="23">
      <c r="A23" s="6" t="inlineStr">
        <is>
          <t>Avsetning til / (Bruk av) Selvkostfond</t>
        </is>
      </c>
      <c r="B23" s="14">
        <f>B17</f>
        <v/>
      </c>
      <c r="C23" s="14">
        <f>C17</f>
        <v/>
      </c>
      <c r="D23" s="14">
        <f>D17</f>
        <v/>
      </c>
      <c r="E23" s="14">
        <f>E17</f>
        <v/>
      </c>
      <c r="F23" s="14">
        <f>F17</f>
        <v/>
      </c>
    </row>
    <row r="24">
      <c r="A24" s="6" t="inlineStr">
        <is>
          <t>Kalkulatorisk rente på selvkostfond</t>
        </is>
      </c>
      <c r="B24" s="14">
        <f>(B22+(B23/2))*B4</f>
        <v/>
      </c>
      <c r="C24" s="14">
        <f>(C22+(C23/2))*B4</f>
        <v/>
      </c>
      <c r="D24" s="14">
        <f>(D22+(D23/2))*B4</f>
        <v/>
      </c>
      <c r="E24" s="14">
        <f>(E22+(E23/2))*B4</f>
        <v/>
      </c>
      <c r="F24" s="14">
        <f>(F22+(F23/2))*B4</f>
        <v/>
      </c>
    </row>
    <row r="25">
      <c r="A25" s="5" t="inlineStr">
        <is>
          <t>UTGÅENDE SELVKOSTFOND (31.12)</t>
        </is>
      </c>
      <c r="B25" s="19">
        <f>SUM(B22:B24)</f>
        <v/>
      </c>
      <c r="C25" s="19">
        <f>SUM(C22:C24)</f>
        <v/>
      </c>
      <c r="D25" s="19">
        <f>SUM(D22:D24)</f>
        <v/>
      </c>
      <c r="E25" s="19">
        <f>SUM(E22:E24)</f>
        <v/>
      </c>
      <c r="F25" s="19">
        <f>SUM(F22:F24)</f>
        <v/>
      </c>
    </row>
  </sheetData>
  <mergeCells count="3">
    <mergeCell ref="A20:G20"/>
    <mergeCell ref="A8:G8"/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30" customWidth="1" min="4" max="4"/>
    <col width="28" customWidth="1" min="5" max="5"/>
  </cols>
  <sheetData>
    <row r="1">
      <c r="A1" s="1" t="inlineStr">
        <is>
          <t>VERTSKOMMUNEOBPGJØR OG TJENESTEFAKTURERING</t>
        </is>
      </c>
    </row>
    <row r="3">
      <c r="A3" s="10" t="inlineStr">
        <is>
          <t>1. FORDELINGSNØKLER OG INNBYGGERTALL (2026)</t>
        </is>
      </c>
    </row>
    <row r="4">
      <c r="A4" s="4" t="inlineStr">
        <is>
          <t>Kommune</t>
        </is>
      </c>
      <c r="B4" s="4" t="inlineStr">
        <is>
          <t>Innbyggertall / Brukere</t>
        </is>
      </c>
      <c r="C4" s="4" t="inlineStr">
        <is>
          <t>Andel (%)</t>
        </is>
      </c>
      <c r="D4" s="4" t="inlineStr">
        <is>
          <t>Status Avtale</t>
        </is>
      </c>
      <c r="E4" s="4" t="inlineStr">
        <is>
          <t>Faktura-Mottaker</t>
        </is>
      </c>
    </row>
    <row r="5">
      <c r="A5" s="5" t="inlineStr">
        <is>
          <t>Kristiansand (Vertskommune)</t>
        </is>
      </c>
      <c r="B5" s="20" t="n">
        <v>115500</v>
      </c>
      <c r="C5" s="18">
        <f>B5/$B$9</f>
        <v/>
      </c>
      <c r="D5" s="6" t="inlineStr">
        <is>
          <t>Vertskommune</t>
        </is>
      </c>
      <c r="E5" s="6" t="inlineStr">
        <is>
          <t>Org.nr 922 422 123</t>
        </is>
      </c>
    </row>
    <row r="6">
      <c r="A6" s="6" t="inlineStr">
        <is>
          <t>Vennesla kommune</t>
        </is>
      </c>
      <c r="B6" s="20" t="n">
        <v>15200</v>
      </c>
      <c r="C6" s="18">
        <f>B6/$B$9</f>
        <v/>
      </c>
      <c r="D6" s="6" t="inlineStr">
        <is>
          <t>Aktiv</t>
        </is>
      </c>
      <c r="E6" s="6" t="inlineStr">
        <is>
          <t>EHF 940 123 456</t>
        </is>
      </c>
    </row>
    <row r="7">
      <c r="A7" s="6" t="inlineStr">
        <is>
          <t>Lillesand kommune</t>
        </is>
      </c>
      <c r="B7" s="20" t="n">
        <v>11100</v>
      </c>
      <c r="C7" s="18">
        <f>B7/$B$9</f>
        <v/>
      </c>
      <c r="D7" s="6" t="inlineStr">
        <is>
          <t>Aktiv</t>
        </is>
      </c>
      <c r="E7" s="6" t="inlineStr">
        <is>
          <t>EHF 960 987 654</t>
        </is>
      </c>
    </row>
    <row r="8">
      <c r="A8" s="6" t="inlineStr">
        <is>
          <t>Birkenes kommune</t>
        </is>
      </c>
      <c r="B8" s="20" t="n">
        <v>5400</v>
      </c>
      <c r="C8" s="18">
        <f>B8/$B$9</f>
        <v/>
      </c>
      <c r="D8" s="6" t="inlineStr">
        <is>
          <t>Aktiv</t>
        </is>
      </c>
      <c r="E8" s="6" t="inlineStr">
        <is>
          <t>EHF 950 555 444</t>
        </is>
      </c>
    </row>
    <row r="9">
      <c r="A9" s="5" t="inlineStr">
        <is>
          <t>TOTALT INNBYGGERTALL</t>
        </is>
      </c>
      <c r="B9" s="21">
        <f>SUM(B5:B8)</f>
        <v/>
      </c>
      <c r="C9" s="22">
        <f>SUM(C5:C8)</f>
        <v/>
      </c>
    </row>
    <row r="11">
      <c r="A11" s="10" t="inlineStr">
        <is>
          <t>2. FELLES TJENESTEKOSTNADER SOM SKAL FORDELES</t>
        </is>
      </c>
    </row>
    <row r="12">
      <c r="A12" s="6" t="inlineStr">
        <is>
          <t>Direkte lønn og sosiale kostnader (Pedagoger/Spesialister)</t>
        </is>
      </c>
      <c r="B12" s="13" t="n">
        <v>8500000</v>
      </c>
    </row>
    <row r="13">
      <c r="A13" s="6" t="inlineStr">
        <is>
          <t>Direkte drift og utstyr</t>
        </is>
      </c>
      <c r="B13" s="13" t="n">
        <v>1200000</v>
      </c>
    </row>
    <row r="14">
      <c r="A14" s="6" t="inlineStr">
        <is>
          <t>Administrativt overhead (8.5% jf. selvkost)</t>
        </is>
      </c>
      <c r="B14" s="14">
        <f>B12*0.085</f>
        <v/>
      </c>
    </row>
    <row r="15">
      <c r="A15" s="6" t="inlineStr">
        <is>
          <t>Kalkulatorisk husleie / Lokaler</t>
        </is>
      </c>
      <c r="B15" s="13" t="n">
        <v>650000</v>
      </c>
    </row>
    <row r="16">
      <c r="A16" s="5" t="inlineStr">
        <is>
          <t>TOTAL BRUTTO TJENESTEKOSTNAD</t>
        </is>
      </c>
      <c r="B16" s="16">
        <f>SUM(B12:B15)</f>
        <v/>
      </c>
    </row>
    <row r="18">
      <c r="A18" s="10" t="inlineStr">
        <is>
          <t>3. BEREGNET REFUSJONSKRAV OG KVARTALSVIS FAKTURERING</t>
        </is>
      </c>
    </row>
    <row r="19">
      <c r="A19" s="4" t="inlineStr">
        <is>
          <t>Kommune</t>
        </is>
      </c>
      <c r="B19" s="4" t="inlineStr">
        <is>
          <t>Kostnadsandel (%)</t>
        </is>
      </c>
      <c r="C19" s="4" t="inlineStr">
        <is>
          <t>Årlig Kostnad (NOK)</t>
        </is>
      </c>
      <c r="D19" s="4" t="inlineStr">
        <is>
          <t>Kvartalsvis Faktura (ex. MVA)</t>
        </is>
      </c>
      <c r="E19" s="4" t="inlineStr">
        <is>
          <t>MVA-Kompensasjon (25%)</t>
        </is>
      </c>
    </row>
    <row r="20">
      <c r="A20" s="5">
        <f>A5</f>
        <v/>
      </c>
      <c r="B20" s="23">
        <f>C5</f>
        <v/>
      </c>
      <c r="C20" s="17">
        <f>B2* $B$16</f>
        <v/>
      </c>
      <c r="D20" s="17">
        <f>C20/4</f>
        <v/>
      </c>
      <c r="E20" s="14">
        <f>D20*0.25</f>
        <v/>
      </c>
    </row>
    <row r="21">
      <c r="A21" s="5">
        <f>A6</f>
        <v/>
      </c>
      <c r="B21" s="23">
        <f>C6</f>
        <v/>
      </c>
      <c r="C21" s="17">
        <f>B2* $B$16</f>
        <v/>
      </c>
      <c r="D21" s="17">
        <f>C21/4</f>
        <v/>
      </c>
      <c r="E21" s="14">
        <f>D21*0.25</f>
        <v/>
      </c>
    </row>
    <row r="22">
      <c r="A22" s="5">
        <f>A7</f>
        <v/>
      </c>
      <c r="B22" s="23">
        <f>C7</f>
        <v/>
      </c>
      <c r="C22" s="17">
        <f>B2* $B$16</f>
        <v/>
      </c>
      <c r="D22" s="17">
        <f>C22/4</f>
        <v/>
      </c>
      <c r="E22" s="14">
        <f>D22*0.25</f>
        <v/>
      </c>
    </row>
    <row r="23">
      <c r="A23" s="5">
        <f>A8</f>
        <v/>
      </c>
      <c r="B23" s="23">
        <f>C8</f>
        <v/>
      </c>
      <c r="C23" s="17">
        <f>B2* $B$16</f>
        <v/>
      </c>
      <c r="D23" s="17">
        <f>C23/4</f>
        <v/>
      </c>
      <c r="E23" s="14">
        <f>D23*0.25</f>
        <v/>
      </c>
    </row>
    <row r="24">
      <c r="A24" s="5" t="inlineStr">
        <is>
          <t>TOTALT FORDELT TJENESTEKOSTNAD</t>
        </is>
      </c>
      <c r="B24" s="24">
        <f>SUM(B20:B23)</f>
        <v/>
      </c>
      <c r="C24" s="25">
        <f>SUM(C20:C23)</f>
        <v/>
      </c>
      <c r="D24" s="26">
        <f>SUM(D20:D23)</f>
        <v/>
      </c>
    </row>
  </sheetData>
  <mergeCells count="3">
    <mergeCell ref="A11:E1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2026-10-19T12:39:54Z</dcterms:created>
  <dcterms:modified xmlns:dcterms="http://purl.org/dc/terms/" xmlns:xsi="http://www.w3.org/2001/XMLSchema-instance" xsi:type="dcterms:W3CDTF">2026-10-19T12:39:54Z</dcterms:modified>
</cp:coreProperties>
</file>