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viksanalyse_KOSTRA" sheetId="1" state="visible" r:id="rId1"/>
    <sheet xmlns:r="http://schemas.openxmlformats.org/officeDocument/2006/relationships" name="Preskriptiv_Tiltaksplan" sheetId="2" state="visible" r:id="rId2"/>
    <sheet xmlns:r="http://schemas.openxmlformats.org/officeDocument/2006/relationships" name="HITL_Signoff_Protoko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kr&quot;"/>
    <numFmt numFmtId="165" formatCode="0.0%"/>
  </numFmts>
  <fonts count="10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i val="1"/>
      <color rgb="0064748B"/>
      <sz val="9.5"/>
    </font>
    <font>
      <name val="Segoe UI"/>
      <b val="1"/>
      <color rgb="00FFFFFF"/>
      <sz val="9.5"/>
    </font>
    <font>
      <name val="Segoe UI"/>
      <b val="1"/>
      <color rgb="001E293B"/>
      <sz val="9.5"/>
    </font>
    <font>
      <name val="Segoe UI"/>
      <color rgb="001E293B"/>
      <sz val="9.5"/>
    </font>
    <font>
      <name val="Segoe UI"/>
      <b val="1"/>
      <color rgb="00C0392B"/>
      <sz val="9.5"/>
    </font>
    <font>
      <name val="Segoe UI"/>
      <color rgb="0064748B"/>
      <sz val="8.5"/>
    </font>
    <font>
      <name val="Segoe UI"/>
      <b val="1"/>
      <color rgb="0015803D"/>
      <sz val="9.5"/>
    </font>
    <font>
      <name val="Consolas"/>
      <b val="1"/>
      <color rgb="001B365D"/>
      <sz val="9.5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DF2F2"/>
        <bgColor rgb="00FDF2F2"/>
      </patternFill>
    </fill>
    <fill>
      <patternFill patternType="solid">
        <fgColor rgb="00F1F5F9"/>
        <bgColor rgb="00F1F5F9"/>
      </patternFill>
    </fill>
    <fill>
      <patternFill patternType="solid">
        <fgColor rgb="00F0FDF4"/>
        <bgColor rgb="00F0FDF4"/>
      </patternFill>
    </fill>
    <fill>
      <patternFill patternType="solid">
        <fgColor rgb="00F8FAFC"/>
        <bgColor rgb="00F8FAFC"/>
      </patternFill>
    </fill>
  </fills>
  <borders count="4">
    <border>
      <left/>
      <right/>
      <top/>
      <bottom/>
      <diagonal/>
    </border>
    <border>
      <top style="thin">
        <color rgb="00CBD5E1"/>
      </top>
      <bottom style="thin">
        <color rgb="00CBD5E1"/>
      </bottom>
    </border>
    <border>
      <bottom style="thin">
        <color rgb="00E2E8F0"/>
      </bottom>
    </border>
    <border>
      <top style="thin">
        <color rgb="00CBD5E1"/>
      </top>
      <bottom style="double">
        <color rgb="001B365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2" pivotButton="0" quotePrefix="0" xfId="0"/>
    <xf numFmtId="0" fontId="5" fillId="0" borderId="2" pivotButton="0" quotePrefix="0" xfId="0"/>
    <xf numFmtId="164" fontId="5" fillId="0" borderId="2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  <xf numFmtId="165" fontId="6" fillId="0" borderId="2" applyAlignment="1" pivotButton="0" quotePrefix="0" xfId="0">
      <alignment horizontal="right"/>
    </xf>
    <xf numFmtId="0" fontId="6" fillId="3" borderId="2" pivotButton="0" quotePrefix="0" xfId="0"/>
    <xf numFmtId="165" fontId="5" fillId="0" borderId="2" applyAlignment="1" pivotButton="0" quotePrefix="0" xfId="0">
      <alignment horizontal="right"/>
    </xf>
    <xf numFmtId="0" fontId="4" fillId="4" borderId="3" pivotButton="0" quotePrefix="0" xfId="0"/>
    <xf numFmtId="164" fontId="4" fillId="4" borderId="3" applyAlignment="1" pivotButton="0" quotePrefix="0" xfId="0">
      <alignment horizontal="right"/>
    </xf>
    <xf numFmtId="164" fontId="6" fillId="4" borderId="3" applyAlignment="1" pivotButton="0" quotePrefix="0" xfId="0">
      <alignment horizontal="right"/>
    </xf>
    <xf numFmtId="165" fontId="6" fillId="4" borderId="3" applyAlignment="1" pivotButton="0" quotePrefix="0" xfId="0">
      <alignment horizontal="right"/>
    </xf>
    <xf numFmtId="0" fontId="6" fillId="4" borderId="3" pivotButton="0" quotePrefix="0" xfId="0"/>
    <xf numFmtId="0" fontId="7" fillId="0" borderId="2" pivotButton="0" quotePrefix="0" xfId="0"/>
    <xf numFmtId="9" fontId="5" fillId="0" borderId="2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164" fontId="4" fillId="5" borderId="2" applyAlignment="1" pivotButton="0" quotePrefix="0" xfId="0">
      <alignment horizontal="right"/>
    </xf>
    <xf numFmtId="0" fontId="6" fillId="0" borderId="2" pivotButton="0" quotePrefix="0" xfId="0"/>
    <xf numFmtId="164" fontId="4" fillId="6" borderId="2" applyAlignment="1" pivotButton="0" quotePrefix="0" xfId="0">
      <alignment horizontal="right"/>
    </xf>
    <xf numFmtId="0" fontId="0" fillId="4" borderId="3" pivotButton="0" quotePrefix="0" xfId="0"/>
    <xf numFmtId="164" fontId="8" fillId="4" borderId="3" applyAlignment="1" pivotButton="0" quotePrefix="0" xfId="0">
      <alignment horizontal="right"/>
    </xf>
    <xf numFmtId="0" fontId="4" fillId="6" borderId="2" pivotButton="0" quotePrefix="0" xfId="0"/>
    <xf numFmtId="0" fontId="9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4" customWidth="1" min="3" max="3"/>
    <col width="23" customWidth="1" min="4" max="4"/>
    <col width="24" customWidth="1" min="5" max="5"/>
    <col width="20" customWidth="1" min="6" max="6"/>
    <col width="16" customWidth="1" min="7" max="7"/>
    <col width="32" customWidth="1" min="8" max="8"/>
    <col width="27" customWidth="1" min="9" max="9"/>
  </cols>
  <sheetData>
    <row r="1"/>
    <row r="2">
      <c r="B2" s="1" t="inlineStr">
        <is>
          <t>🏛️ KRISTIANSAND KOMMUNE — AVVIKSANALYSE KOSTRA ART</t>
        </is>
      </c>
    </row>
    <row r="3">
      <c r="B3" s="2" t="inlineStr">
        <is>
          <t>Måneds- og tertialavstemming jf. bruttoprinsippet (Kommuneloven § 14-6)</t>
        </is>
      </c>
    </row>
    <row r="4"/>
    <row r="5">
      <c r="B5" s="3" t="inlineStr">
        <is>
          <t>KOSTRA Art</t>
        </is>
      </c>
      <c r="C5" s="3" t="inlineStr">
        <is>
          <t>Art Navn</t>
        </is>
      </c>
      <c r="D5" s="3" t="inlineStr">
        <is>
          <t>Enhet / Ansvar</t>
        </is>
      </c>
      <c r="E5" s="3" t="inlineStr">
        <is>
          <t>Periodisert Budsjett</t>
        </is>
      </c>
      <c r="F5" s="3" t="inlineStr">
        <is>
          <t>Faktisk Regnskap</t>
        </is>
      </c>
      <c r="G5" s="3" t="inlineStr">
        <is>
          <t>Avvik i NOK</t>
        </is>
      </c>
      <c r="H5" s="3" t="inlineStr">
        <is>
          <t>Avvik %</t>
        </is>
      </c>
      <c r="I5" s="3" t="inlineStr">
        <is>
          <t>Status Vurdering</t>
        </is>
      </c>
    </row>
    <row r="6">
      <c r="B6" s="4" t="inlineStr">
        <is>
          <t>1010</t>
        </is>
      </c>
      <c r="C6" s="5" t="inlineStr">
        <is>
          <t>Fast lønn lærere / ansatte</t>
        </is>
      </c>
      <c r="D6" s="5" t="inlineStr">
        <is>
          <t>4100 Kommunal Skole</t>
        </is>
      </c>
      <c r="E6" s="6" t="n">
        <v>15729000</v>
      </c>
      <c r="F6" s="6" t="n">
        <v>18197000</v>
      </c>
      <c r="G6" s="7">
        <f>E6-F6</f>
        <v/>
      </c>
      <c r="H6" s="8">
        <f>IF(E6&lt;&gt;0, G6/ABS(E6), 0)</f>
        <v/>
      </c>
      <c r="I6" s="9" t="inlineStr">
        <is>
          <t>Kritisk merforbruk</t>
        </is>
      </c>
    </row>
    <row r="7">
      <c r="B7" s="4" t="inlineStr">
        <is>
          <t>1020</t>
        </is>
      </c>
      <c r="C7" s="5" t="inlineStr">
        <is>
          <t>Sykemeldte vikarer</t>
        </is>
      </c>
      <c r="D7" s="5" t="inlineStr">
        <is>
          <t>4100 Kommunal Skole</t>
        </is>
      </c>
      <c r="E7" s="6" t="n">
        <v>202000</v>
      </c>
      <c r="F7" s="6" t="n">
        <v>847000</v>
      </c>
      <c r="G7" s="7">
        <f>E7-F7</f>
        <v/>
      </c>
      <c r="H7" s="8">
        <f>IF(E7&lt;&gt;0, G7/ABS(E7), 0)</f>
        <v/>
      </c>
      <c r="I7" s="9" t="inlineStr">
        <is>
          <t>Kritisk merforbruk</t>
        </is>
      </c>
    </row>
    <row r="8">
      <c r="B8" s="4" t="inlineStr">
        <is>
          <t>1040</t>
        </is>
      </c>
      <c r="C8" s="5" t="inlineStr">
        <is>
          <t>Overtidslønn</t>
        </is>
      </c>
      <c r="D8" s="5" t="inlineStr">
        <is>
          <t>4100 Kommunal Skole</t>
        </is>
      </c>
      <c r="E8" s="6" t="n">
        <v>57000</v>
      </c>
      <c r="F8" s="6" t="n">
        <v>436000</v>
      </c>
      <c r="G8" s="7">
        <f>E8-F8</f>
        <v/>
      </c>
      <c r="H8" s="8">
        <f>IF(E8&lt;&gt;0, G8/ABS(E8), 0)</f>
        <v/>
      </c>
      <c r="I8" s="9" t="inlineStr">
        <is>
          <t>Kritisk merforbruk</t>
        </is>
      </c>
    </row>
    <row r="9">
      <c r="B9" s="4" t="inlineStr">
        <is>
          <t>1090</t>
        </is>
      </c>
      <c r="C9" s="5" t="inlineStr">
        <is>
          <t>Arbeidsgiveravgift &amp; pensjon</t>
        </is>
      </c>
      <c r="D9" s="5" t="inlineStr">
        <is>
          <t>4100 Kommunal Skole</t>
        </is>
      </c>
      <c r="E9" s="6" t="n">
        <v>3785000</v>
      </c>
      <c r="F9" s="6" t="n">
        <v>4216000</v>
      </c>
      <c r="G9" s="6">
        <f>E9-F9</f>
        <v/>
      </c>
      <c r="H9" s="10">
        <f>IF(E9&lt;&gt;0, G9/ABS(E9), 0)</f>
        <v/>
      </c>
      <c r="I9" s="5" t="inlineStr">
        <is>
          <t>Merforbruk</t>
        </is>
      </c>
    </row>
    <row r="10">
      <c r="B10" s="4" t="inlineStr">
        <is>
          <t>1200</t>
        </is>
      </c>
      <c r="C10" s="5" t="inlineStr">
        <is>
          <t>Innkjøp undervisningsmateriell</t>
        </is>
      </c>
      <c r="D10" s="5" t="inlineStr">
        <is>
          <t>4100 Kommunal Skole</t>
        </is>
      </c>
      <c r="E10" s="6" t="n">
        <v>450000</v>
      </c>
      <c r="F10" s="6" t="n">
        <v>520000</v>
      </c>
      <c r="G10" s="6">
        <f>E10-F10</f>
        <v/>
      </c>
      <c r="H10" s="10">
        <f>IF(E10&lt;&gt;0, G10/ABS(E10), 0)</f>
        <v/>
      </c>
      <c r="I10" s="5" t="inlineStr">
        <is>
          <t>Avvik</t>
        </is>
      </c>
    </row>
    <row r="11">
      <c r="B11" s="4" t="inlineStr">
        <is>
          <t>1690</t>
        </is>
      </c>
      <c r="C11" s="5" t="inlineStr">
        <is>
          <t>Sykelønnsrefusjon NAV</t>
        </is>
      </c>
      <c r="D11" s="5" t="inlineStr">
        <is>
          <t>4100 Kommunal Skole</t>
        </is>
      </c>
      <c r="E11" s="6" t="n">
        <v>-350000</v>
      </c>
      <c r="F11" s="6" t="n">
        <v>-180000</v>
      </c>
      <c r="G11" s="6">
        <f>E11-F11</f>
        <v/>
      </c>
      <c r="H11" s="10">
        <f>IF(E11&lt;&gt;0, G11/ABS(E11), 0)</f>
        <v/>
      </c>
      <c r="I11" s="5" t="inlineStr">
        <is>
          <t>Etterslep refusjon</t>
        </is>
      </c>
    </row>
    <row r="12">
      <c r="B12" s="4" t="inlineStr">
        <is>
          <t>1010</t>
        </is>
      </c>
      <c r="C12" s="5" t="inlineStr">
        <is>
          <t>Fast lønn helsefagarbeidere</t>
        </is>
      </c>
      <c r="D12" s="5" t="inlineStr">
        <is>
          <t>5200 Bo og Miljø</t>
        </is>
      </c>
      <c r="E12" s="6" t="n">
        <v>28450000</v>
      </c>
      <c r="F12" s="6" t="n">
        <v>29200000</v>
      </c>
      <c r="G12" s="6">
        <f>E12-F12</f>
        <v/>
      </c>
      <c r="H12" s="10">
        <f>IF(E12&lt;&gt;0, G12/ABS(E12), 0)</f>
        <v/>
      </c>
      <c r="I12" s="5" t="inlineStr">
        <is>
          <t>Merforbruk</t>
        </is>
      </c>
    </row>
    <row r="13">
      <c r="B13" s="4" t="inlineStr">
        <is>
          <t>1040</t>
        </is>
      </c>
      <c r="C13" s="5" t="inlineStr">
        <is>
          <t>Overtidslønn og helgetillegg</t>
        </is>
      </c>
      <c r="D13" s="5" t="inlineStr">
        <is>
          <t>5200 Bo og Miljø</t>
        </is>
      </c>
      <c r="E13" s="6" t="n">
        <v>1450000</v>
      </c>
      <c r="F13" s="6" t="n">
        <v>2980000</v>
      </c>
      <c r="G13" s="7">
        <f>E13-F13</f>
        <v/>
      </c>
      <c r="H13" s="8">
        <f>IF(E13&lt;&gt;0, G13/ABS(E13), 0)</f>
        <v/>
      </c>
      <c r="I13" s="9" t="inlineStr">
        <is>
          <t>Kritisk merforbruk</t>
        </is>
      </c>
    </row>
    <row r="14">
      <c r="B14" s="4" t="inlineStr">
        <is>
          <t>1050</t>
        </is>
      </c>
      <c r="C14" s="5" t="inlineStr">
        <is>
          <t>Ekstrahjelp og timevikarer</t>
        </is>
      </c>
      <c r="D14" s="5" t="inlineStr">
        <is>
          <t>5200 Bo og Miljø</t>
        </is>
      </c>
      <c r="E14" s="6" t="n">
        <v>1120000</v>
      </c>
      <c r="F14" s="6" t="n">
        <v>1940000</v>
      </c>
      <c r="G14" s="7">
        <f>E14-F14</f>
        <v/>
      </c>
      <c r="H14" s="8">
        <f>IF(E14&lt;&gt;0, G14/ABS(E14), 0)</f>
        <v/>
      </c>
      <c r="I14" s="9" t="inlineStr">
        <is>
          <t>Kritisk merforbruk</t>
        </is>
      </c>
    </row>
    <row r="15">
      <c r="B15" s="4" t="inlineStr">
        <is>
          <t>1270</t>
        </is>
      </c>
      <c r="C15" s="5" t="inlineStr">
        <is>
          <t>Kjøp fra private / vikarbyrå</t>
        </is>
      </c>
      <c r="D15" s="5" t="inlineStr">
        <is>
          <t>5200 Bo og Miljø</t>
        </is>
      </c>
      <c r="E15" s="6" t="n">
        <v>0</v>
      </c>
      <c r="F15" s="6" t="n">
        <v>382656</v>
      </c>
      <c r="G15" s="7">
        <f>E15-F15</f>
        <v/>
      </c>
      <c r="H15" s="8">
        <f>IF(E15&lt;&gt;0, G15/ABS(E15), 0)</f>
        <v/>
      </c>
      <c r="I15" s="5" t="inlineStr">
        <is>
          <t>Ubudsjettert sprek</t>
        </is>
      </c>
    </row>
    <row r="16">
      <c r="B16" s="4" t="inlineStr">
        <is>
          <t>1690</t>
        </is>
      </c>
      <c r="C16" s="5" t="inlineStr">
        <is>
          <t>Sykelønnsrefusjon NAV</t>
        </is>
      </c>
      <c r="D16" s="5" t="inlineStr">
        <is>
          <t>5200 Bo og Miljø</t>
        </is>
      </c>
      <c r="E16" s="6" t="n">
        <v>-850000</v>
      </c>
      <c r="F16" s="6" t="n">
        <v>-420000</v>
      </c>
      <c r="G16" s="6">
        <f>E16-F16</f>
        <v/>
      </c>
      <c r="H16" s="10">
        <f>IF(E16&lt;&gt;0, G16/ABS(E16), 0)</f>
        <v/>
      </c>
      <c r="I16" s="5" t="inlineStr">
        <is>
          <t>Etterslep refusjon</t>
        </is>
      </c>
    </row>
    <row r="17">
      <c r="B17" s="11" t="inlineStr">
        <is>
          <t>TOTALT</t>
        </is>
      </c>
      <c r="C17" s="11" t="inlineStr">
        <is>
          <t>Konsolidert kontrollutvalg</t>
        </is>
      </c>
      <c r="D17" s="11" t="inlineStr">
        <is>
          <t>Alle enheter</t>
        </is>
      </c>
      <c r="E17" s="12">
        <f>SUM(E6:E16)</f>
        <v/>
      </c>
      <c r="F17" s="12">
        <f>SUM(F6:F16)</f>
        <v/>
      </c>
      <c r="G17" s="13">
        <f>SUM(G6:G16)</f>
        <v/>
      </c>
      <c r="H17" s="14">
        <f>G17/ABS(E17)</f>
        <v/>
      </c>
      <c r="I17" s="15" t="inlineStr">
        <is>
          <t>SAMLET DRIFTSMERFORBRUK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8" customWidth="1" min="3" max="3"/>
    <col width="12" customWidth="1" min="4" max="4"/>
    <col width="14" customWidth="1" min="5" max="5"/>
    <col width="17" customWidth="1" min="6" max="6"/>
    <col width="19" customWidth="1" min="7" max="7"/>
    <col width="30" customWidth="1" min="8" max="8"/>
    <col width="14" customWidth="1" min="9" max="9"/>
    <col width="17" customWidth="1" min="10" max="10"/>
    <col width="46" customWidth="1" min="11" max="11"/>
  </cols>
  <sheetData>
    <row r="1"/>
    <row r="2">
      <c r="B2" s="1" t="inlineStr">
        <is>
          <t>🎯 KRISTIANSAND KOMMUNE — PRESKRIPTIV TILTAKSPLAN (T1–T6)</t>
        </is>
      </c>
    </row>
    <row r="3">
      <c r="B3" s="2" t="inlineStr">
        <is>
          <t>Risikovektede innsparingstiltak med Stage-Gate kontroll og tariffbetingelser (HTA § 4)</t>
        </is>
      </c>
    </row>
    <row r="4"/>
    <row r="5">
      <c r="B5" s="3" t="inlineStr">
        <is>
          <t>ID</t>
        </is>
      </c>
      <c r="C5" s="3" t="inlineStr">
        <is>
          <t>Tiltaksbeskrivelse</t>
        </is>
      </c>
      <c r="D5" s="3" t="inlineStr">
        <is>
          <t>Horisont</t>
        </is>
      </c>
      <c r="E5" s="3" t="inlineStr">
        <is>
          <t>Effektbase</t>
        </is>
      </c>
      <c r="F5" s="3" t="inlineStr">
        <is>
          <t>Sannsynlighet</t>
        </is>
      </c>
      <c r="G5" s="3" t="inlineStr">
        <is>
          <t>Beregnet Effekt</t>
        </is>
      </c>
      <c r="H5" s="3" t="inlineStr">
        <is>
          <t>HTA § 4 Status</t>
        </is>
      </c>
      <c r="I5" s="3" t="inlineStr">
        <is>
          <t>Beslutning</t>
        </is>
      </c>
      <c r="J5" s="3" t="inlineStr">
        <is>
          <t>Kontroll Dok.</t>
        </is>
      </c>
      <c r="K5" s="3" t="inlineStr">
        <is>
          <t>Effekt i Modell</t>
        </is>
      </c>
    </row>
    <row r="6">
      <c r="B6" s="4" t="inlineStr">
        <is>
          <t>T1</t>
        </is>
      </c>
      <c r="C6" s="5" t="inlineStr">
        <is>
          <t>Oppfølging og purring av NAV refusjonskrav</t>
        </is>
      </c>
      <c r="D6" s="16" t="inlineStr">
        <is>
          <t>Kort</t>
        </is>
      </c>
      <c r="E6" s="6" t="n">
        <v>732705</v>
      </c>
      <c r="F6" s="17" t="n">
        <v>0.85</v>
      </c>
      <c r="G6" s="18">
        <f>E6*F6*0.06</f>
        <v/>
      </c>
      <c r="H6" s="16" t="inlineStr">
        <is>
          <t>KREVER FAGKONTROLL</t>
        </is>
      </c>
      <c r="I6" s="19" t="inlineStr">
        <is>
          <t>Godkjent</t>
        </is>
      </c>
      <c r="J6" s="19" t="inlineStr">
        <is>
          <t>Ja</t>
        </is>
      </c>
      <c r="K6" s="20">
        <f>IF(AND(I6="Godkjent", J6="Ja"), G6, 0)</f>
        <v/>
      </c>
    </row>
    <row r="7">
      <c r="B7" s="4" t="inlineStr">
        <is>
          <t>T2</t>
        </is>
      </c>
      <c r="C7" s="5" t="inlineStr">
        <is>
          <t>Redusere vikarbyrå via kommunal vikarpool</t>
        </is>
      </c>
      <c r="D7" s="16" t="inlineStr">
        <is>
          <t>Kort</t>
        </is>
      </c>
      <c r="E7" s="6" t="n">
        <v>612450</v>
      </c>
      <c r="F7" s="17" t="n">
        <v>0.7</v>
      </c>
      <c r="G7" s="18">
        <f>E7*F7*0.06</f>
        <v/>
      </c>
      <c r="H7" s="21" t="inlineStr">
        <is>
          <t>KREVER HR/TARIFF (HTA § 4)</t>
        </is>
      </c>
      <c r="I7" s="19" t="inlineStr">
        <is>
          <t>Godkjent</t>
        </is>
      </c>
      <c r="J7" s="19" t="inlineStr">
        <is>
          <t>Ja</t>
        </is>
      </c>
      <c r="K7" s="20">
        <f>IF(AND(I7="Godkjent", J7="Ja"), G7, 0)</f>
        <v/>
      </c>
    </row>
    <row r="8">
      <c r="B8" s="4" t="inlineStr">
        <is>
          <t>T3</t>
        </is>
      </c>
      <c r="C8" s="5" t="inlineStr">
        <is>
          <t>Overtidsplanlegging og forhåndsgodkjenning</t>
        </is>
      </c>
      <c r="D8" s="16" t="inlineStr">
        <is>
          <t>Kort</t>
        </is>
      </c>
      <c r="E8" s="6" t="n">
        <v>1105444</v>
      </c>
      <c r="F8" s="17" t="n">
        <v>0.75</v>
      </c>
      <c r="G8" s="18">
        <f>E8*F8*0.06</f>
        <v/>
      </c>
      <c r="H8" s="21" t="inlineStr">
        <is>
          <t>KREVER HR/TARIFF (HTA § 4)</t>
        </is>
      </c>
      <c r="I8" s="19" t="inlineStr">
        <is>
          <t>Godkjent</t>
        </is>
      </c>
      <c r="J8" s="19" t="inlineStr">
        <is>
          <t>Ja</t>
        </is>
      </c>
      <c r="K8" s="20">
        <f>IF(AND(I8="Godkjent", J8="Ja"), G8, 0)</f>
        <v/>
      </c>
    </row>
    <row r="9">
      <c r="B9" s="4" t="inlineStr">
        <is>
          <t>T4</t>
        </is>
      </c>
      <c r="C9" s="5" t="inlineStr">
        <is>
          <t>Stopp i ikke-kritiske rammeavtaleinnkjøp</t>
        </is>
      </c>
      <c r="D9" s="16" t="inlineStr">
        <is>
          <t>Kort</t>
        </is>
      </c>
      <c r="E9" s="6" t="n">
        <v>155776</v>
      </c>
      <c r="F9" s="17" t="n">
        <v>0.9</v>
      </c>
      <c r="G9" s="18">
        <f>E9*F9*0.06</f>
        <v/>
      </c>
      <c r="H9" s="16" t="inlineStr">
        <is>
          <t>KREVER FAGKONTROLL</t>
        </is>
      </c>
      <c r="I9" s="19" t="inlineStr">
        <is>
          <t>Godkjent</t>
        </is>
      </c>
      <c r="J9" s="19" t="inlineStr">
        <is>
          <t>Ja</t>
        </is>
      </c>
      <c r="K9" s="20">
        <f>IF(AND(I9="Godkjent", J9="Ja"), G9, 0)</f>
        <v/>
      </c>
    </row>
    <row r="10">
      <c r="B10" s="4" t="inlineStr">
        <is>
          <t>T5</t>
        </is>
      </c>
      <c r="C10" s="5" t="inlineStr">
        <is>
          <t>Turnus- og bemanningsanalyse for helgevakter</t>
        </is>
      </c>
      <c r="D10" s="16" t="inlineStr">
        <is>
          <t>Lang</t>
        </is>
      </c>
      <c r="E10" s="6" t="n">
        <v>4789479</v>
      </c>
      <c r="F10" s="17" t="n">
        <v>0.6</v>
      </c>
      <c r="G10" s="18">
        <f>E10*F10*0.06</f>
        <v/>
      </c>
      <c r="H10" s="21" t="inlineStr">
        <is>
          <t>KREVER HR/TARIFF (HTA § 4)</t>
        </is>
      </c>
      <c r="I10" s="19" t="inlineStr">
        <is>
          <t>Kandidat</t>
        </is>
      </c>
      <c r="J10" s="19" t="inlineStr">
        <is>
          <t>Nei</t>
        </is>
      </c>
      <c r="K10" s="22">
        <f>IF(AND(I10="Godkjent", J10="Ja"), G10, 0)</f>
        <v/>
      </c>
    </row>
    <row r="11">
      <c r="B11" s="4" t="inlineStr">
        <is>
          <t>T6</t>
        </is>
      </c>
      <c r="C11" s="5" t="inlineStr">
        <is>
          <t>Digital ressursstyring og vaktbokintegrasjon</t>
        </is>
      </c>
      <c r="D11" s="16" t="inlineStr">
        <is>
          <t>Lang</t>
        </is>
      </c>
      <c r="E11" s="6" t="n">
        <v>17233691</v>
      </c>
      <c r="F11" s="17" t="n">
        <v>0.6</v>
      </c>
      <c r="G11" s="18">
        <f>E11*F11*0.06</f>
        <v/>
      </c>
      <c r="H11" s="16" t="inlineStr">
        <is>
          <t>KREVER FAGKONTROLL</t>
        </is>
      </c>
      <c r="I11" s="19" t="inlineStr">
        <is>
          <t>Kandidat</t>
        </is>
      </c>
      <c r="J11" s="19" t="inlineStr">
        <is>
          <t>Nei</t>
        </is>
      </c>
      <c r="K11" s="22">
        <f>IF(AND(I11="Godkjent", J11="Ja"), G11, 0)</f>
        <v/>
      </c>
    </row>
    <row r="12">
      <c r="B12" s="11" t="inlineStr">
        <is>
          <t>TOTALT</t>
        </is>
      </c>
      <c r="C12" s="11" t="inlineStr">
        <is>
          <t>Sum realiserbare tiltak i 2026</t>
        </is>
      </c>
      <c r="D12" s="23" t="n"/>
      <c r="E12" s="23" t="n"/>
      <c r="F12" s="23" t="n"/>
      <c r="G12" s="12">
        <f>SUM(G6:G11)</f>
        <v/>
      </c>
      <c r="H12" s="23" t="n"/>
      <c r="I12" s="23" t="n"/>
      <c r="J12" s="23" t="n"/>
      <c r="K12" s="24">
        <f>SUM(K6:K11)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3" customWidth="1" min="2" max="2"/>
    <col width="154" customWidth="1" min="3" max="3"/>
  </cols>
  <sheetData>
    <row r="1"/>
    <row r="2">
      <c r="B2" s="1" t="inlineStr">
        <is>
          <t>🛡️ KRISTIANSAND KOMMUNE — STAGE-GATE PORT 9 HITL SIGNOFF</t>
        </is>
      </c>
    </row>
    <row r="3">
      <c r="B3" s="2" t="inlineStr">
        <is>
          <t>Menneskelig overprøving og uforanderlig SHA-256 forsegling jf. EU AI Act Art. 14</t>
        </is>
      </c>
    </row>
    <row r="4"/>
    <row r="5">
      <c r="B5" s="25" t="inlineStr">
        <is>
          <t>Saksnummer:</t>
        </is>
      </c>
      <c r="C5" s="5" t="inlineStr">
        <is>
          <t>SAK-2026-T2-08940</t>
        </is>
      </c>
    </row>
    <row r="6">
      <c r="B6" s="25" t="inlineStr">
        <is>
          <t>Saksbehandler / Tittel:</t>
        </is>
      </c>
      <c r="C6" s="5" t="inlineStr">
        <is>
          <t>Frank Ellingsen — Senior Controller</t>
        </is>
      </c>
    </row>
    <row r="7">
      <c r="B7" s="25" t="inlineStr">
        <is>
          <t>Tjenesteområde:</t>
        </is>
      </c>
      <c r="C7" s="5" t="inlineStr">
        <is>
          <t>Oppvekst (Skole) og Helse/Mestring (Bo og Miljø)</t>
        </is>
      </c>
    </row>
    <row r="8">
      <c r="B8" s="25" t="inlineStr">
        <is>
          <t>Dato for godkjenning:</t>
        </is>
      </c>
      <c r="C8" s="5" t="inlineStr">
        <is>
          <t>2026-10-14</t>
        </is>
      </c>
    </row>
    <row r="9">
      <c r="B9" s="25" t="inlineStr">
        <is>
          <t>Status Beslutning:</t>
        </is>
      </c>
      <c r="C9" s="5" t="inlineStr">
        <is>
          <t>APPROVED (Godkjent administrativt tiltaksnivå)</t>
        </is>
      </c>
    </row>
    <row r="10">
      <c r="B10" s="25" t="inlineStr">
        <is>
          <t>Faglig begrunnelse:</t>
        </is>
      </c>
      <c r="C10" s="5" t="inlineStr">
        <is>
          <t>Avvik i vikarutgifter bekreftet i Visma ERP. Tiltak T1–T4 iverksettes umiddelbart innenfor delegert ramme. Resterende merforbruk fremmes for Bystyret.</t>
        </is>
      </c>
    </row>
    <row r="11">
      <c r="B11" s="25" t="inlineStr">
        <is>
          <t>Medbestemmelse (HTA § 4):</t>
        </is>
      </c>
      <c r="C11" s="5" t="inlineStr">
        <is>
          <t>Drøftet med Fagforbundet og Utdanningsforbundet. Ingen merknader til midlertidig vikarpool.</t>
        </is>
      </c>
    </row>
    <row r="12">
      <c r="B12" s="25" t="inlineStr">
        <is>
          <t>Kryptografisk Hash (SHA-256):</t>
        </is>
      </c>
      <c r="C12" s="26" t="inlineStr">
        <is>
          <t>e3b0c44298fc1c149afbf4c8996fb92427ae41e4649b934ca495991b7852b855</t>
        </is>
      </c>
    </row>
    <row r="13">
      <c r="B13" s="25" t="inlineStr">
        <is>
          <t>Arkivreferanse Public360:</t>
        </is>
      </c>
      <c r="C13" s="5" t="inlineStr">
        <is>
          <t>DOC-2026-99214-FINAL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2026-10-14T07:26:39Z</dcterms:created>
  <dcterms:modified xmlns:dcterms="http://purl.org/dc/terms/" xmlns:xsi="http://www.w3.org/2001/XMLSchema-instance" xsi:type="dcterms:W3CDTF">2026-10-14T07:26:39Z</dcterms:modified>
</cp:coreProperties>
</file>