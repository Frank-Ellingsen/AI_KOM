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ntoutskrif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r&quot;"/>
  </numFmts>
  <fonts count="5">
    <font>
      <name val="Calibri"/>
      <family val="2"/>
      <color theme="1"/>
      <sz val="11"/>
      <scheme val="minor"/>
    </font>
    <font>
      <name val="Segoe UI"/>
      <b val="1"/>
      <color rgb="001B365D"/>
      <sz val="14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164" fontId="0" fillId="3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1" workbookViewId="0">
      <selection activeCell="A1" sqref="A1"/>
    </sheetView>
  </sheetViews>
  <sheetFormatPr baseColWidth="8" defaultRowHeight="15"/>
  <cols>
    <col width="84" customWidth="1" min="1" max="1"/>
    <col width="24" customWidth="1" min="2" max="2"/>
    <col width="52" customWidth="1" min="3" max="3"/>
    <col width="14" customWidth="1" min="4" max="4"/>
    <col width="49" customWidth="1" min="5" max="5"/>
    <col width="11" customWidth="1" min="6" max="6"/>
    <col width="19" customWidth="1" min="7" max="7"/>
    <col width="21" customWidth="1" min="8" max="8"/>
    <col width="19" customWidth="1" min="9" max="9"/>
    <col width="11" customWidth="1" min="10" max="10"/>
    <col width="19" customWidth="1" min="11" max="11"/>
    <col width="36" customWidth="1" min="12" max="12"/>
    <col width="13" customWidth="1" min="13" max="13"/>
  </cols>
  <sheetData>
    <row r="1">
      <c r="A1" s="1" t="inlineStr">
        <is>
          <t>KRISTIANSAND KOMMUNE — MÅNEDLIG KONTOUTSKRIFT FOR BUDSJETTANSVARLIGE</t>
        </is>
      </c>
    </row>
    <row r="2">
      <c r="A2" s="2" t="inlineStr">
        <is>
          <t>Register over alle enheter og disponibel saldo per måned. Akkurat som i nettbank.</t>
        </is>
      </c>
    </row>
    <row r="3"/>
    <row r="4">
      <c r="A4" s="3" t="inlineStr">
        <is>
          <t>Enhetskode</t>
        </is>
      </c>
      <c r="B4" s="4" t="inlineStr">
        <is>
          <t>Budsjettansvarlig</t>
        </is>
      </c>
      <c r="C4" s="4" t="inlineStr">
        <is>
          <t>Tittel</t>
        </is>
      </c>
      <c r="D4" s="4" t="inlineStr">
        <is>
          <t>Sektor</t>
        </is>
      </c>
      <c r="E4" s="4" t="inlineStr">
        <is>
          <t>Enhetsnavn</t>
        </is>
      </c>
      <c r="F4" s="3" t="inlineStr">
        <is>
          <t>Måned</t>
        </is>
      </c>
      <c r="G4" s="5" t="inlineStr">
        <is>
          <t>Tildelt Årsramme</t>
        </is>
      </c>
      <c r="H4" s="5" t="inlineStr">
        <is>
          <t>Brukt YTD</t>
        </is>
      </c>
      <c r="I4" s="5" t="inlineStr">
        <is>
          <t>Disponibel Saldo</t>
        </is>
      </c>
      <c r="J4" s="3" t="inlineStr">
        <is>
          <t>Rest Mnd</t>
        </is>
      </c>
      <c r="K4" s="5" t="inlineStr">
        <is>
          <t>Mnd Rådighet</t>
        </is>
      </c>
      <c r="L4" s="4" t="inlineStr">
        <is>
          <t>Kontostatus</t>
        </is>
      </c>
      <c r="M4" s="3" t="inlineStr">
        <is>
          <t>Trafikklys</t>
        </is>
      </c>
    </row>
    <row r="5">
      <c r="A5" s="6" t="inlineStr">
        <is>
          <t>6004-CTRL-KNUT</t>
        </is>
      </c>
      <c r="B5" t="inlineStr">
        <is>
          <t>Knut Arild Vike</t>
        </is>
      </c>
      <c r="C5" t="inlineStr">
        <is>
          <t>Sektorcontroller Byutvikling &amp; Selvkost</t>
        </is>
      </c>
      <c r="D5" t="inlineStr">
        <is>
          <t>BYUTVIKLING</t>
        </is>
      </c>
      <c r="E5" t="inlineStr">
        <is>
          <t>Økonomitjenesten Byutvikling</t>
        </is>
      </c>
      <c r="F5" s="6" t="inlineStr">
        <is>
          <t>Oktober</t>
        </is>
      </c>
      <c r="G5" s="7" t="n">
        <v>12000000</v>
      </c>
      <c r="H5" s="7" t="n">
        <v>9466558.290000001</v>
      </c>
      <c r="I5" s="8">
        <f>G5-H5</f>
        <v/>
      </c>
      <c r="J5" s="6" t="n">
        <v>2</v>
      </c>
      <c r="K5" s="7">
        <f>I5/MAX(1, J5)</f>
        <v/>
      </c>
      <c r="L5" t="inlineStr">
        <is>
          <t>🟢 Saldo i balanse (God kontroll)</t>
        </is>
      </c>
      <c r="M5" s="6" t="inlineStr">
        <is>
          <t>GREEN</t>
        </is>
      </c>
    </row>
    <row r="6">
      <c r="A6" s="9" t="inlineStr">
        <is>
          <t>6002-CTRL-MARIANNE</t>
        </is>
      </c>
      <c r="B6" s="10" t="inlineStr">
        <is>
          <t>Marianne Tellefsen</t>
        </is>
      </c>
      <c r="C6" s="10" t="inlineStr">
        <is>
          <t>Sektorcontroller Helse og Mestring</t>
        </is>
      </c>
      <c r="D6" s="10" t="inlineStr">
        <is>
          <t>HELSE</t>
        </is>
      </c>
      <c r="E6" s="10" t="inlineStr">
        <is>
          <t>Økonomitjenesten Helse</t>
        </is>
      </c>
      <c r="F6" s="9" t="inlineStr">
        <is>
          <t>Oktober</t>
        </is>
      </c>
      <c r="G6" s="11" t="n">
        <v>12000000</v>
      </c>
      <c r="H6" s="11" t="n">
        <v>9466558.290000001</v>
      </c>
      <c r="I6" s="12">
        <f>G6-H6</f>
        <v/>
      </c>
      <c r="J6" s="9" t="n">
        <v>2</v>
      </c>
      <c r="K6" s="11">
        <f>I6/MAX(1, J6)</f>
        <v/>
      </c>
      <c r="L6" s="10" t="inlineStr">
        <is>
          <t>🟢 Saldo i balanse (God kontroll)</t>
        </is>
      </c>
      <c r="M6" s="9" t="inlineStr">
        <is>
          <t>GREEN</t>
        </is>
      </c>
    </row>
    <row r="7">
      <c r="A7" s="6" t="inlineStr">
        <is>
          <t>6001-CTRL-FRANK</t>
        </is>
      </c>
      <c r="B7" t="inlineStr">
        <is>
          <t>Frank Ellingsen</t>
        </is>
      </c>
      <c r="C7" t="inlineStr">
        <is>
          <t>Senior Financial Controller &amp; Project Controller</t>
        </is>
      </c>
      <c r="D7" t="inlineStr">
        <is>
          <t>KONSERN</t>
        </is>
      </c>
      <c r="E7" t="inlineStr">
        <is>
          <t>Sentrale Økonomitjenester / Hub Koordinator</t>
        </is>
      </c>
      <c r="F7" s="6" t="inlineStr">
        <is>
          <t>Oktober</t>
        </is>
      </c>
      <c r="G7" s="7" t="n">
        <v>12000000</v>
      </c>
      <c r="H7" s="7" t="n">
        <v>9466558.290000001</v>
      </c>
      <c r="I7" s="8">
        <f>G7-H7</f>
        <v/>
      </c>
      <c r="J7" s="6" t="n">
        <v>2</v>
      </c>
      <c r="K7" s="7">
        <f>I7/MAX(1, J7)</f>
        <v/>
      </c>
      <c r="L7" t="inlineStr">
        <is>
          <t>🟢 Saldo i balanse (God kontroll)</t>
        </is>
      </c>
      <c r="M7" s="6" t="inlineStr">
        <is>
          <t>GREEN</t>
        </is>
      </c>
    </row>
    <row r="8">
      <c r="A8" s="9" t="inlineStr">
        <is>
          <t>6005-CTRL-SILJE</t>
        </is>
      </c>
      <c r="B8" s="10" t="inlineStr">
        <is>
          <t>Silje Mæland</t>
        </is>
      </c>
      <c r="C8" s="10" t="inlineStr">
        <is>
          <t>Sektorcontroller Kultur, Dialog &amp; Fellestjenester</t>
        </is>
      </c>
      <c r="D8" s="10" t="inlineStr">
        <is>
          <t>KULTUR</t>
        </is>
      </c>
      <c r="E8" s="10" t="inlineStr">
        <is>
          <t>Økonomitjenesten Kultur &amp; Felles</t>
        </is>
      </c>
      <c r="F8" s="9" t="inlineStr">
        <is>
          <t>Oktober</t>
        </is>
      </c>
      <c r="G8" s="11" t="n">
        <v>12000000</v>
      </c>
      <c r="H8" s="11" t="n">
        <v>9466558.290000001</v>
      </c>
      <c r="I8" s="12">
        <f>G8-H8</f>
        <v/>
      </c>
      <c r="J8" s="9" t="n">
        <v>2</v>
      </c>
      <c r="K8" s="11">
        <f>I8/MAX(1, J8)</f>
        <v/>
      </c>
      <c r="L8" s="10" t="inlineStr">
        <is>
          <t>🟢 Saldo i balanse (God kontroll)</t>
        </is>
      </c>
      <c r="M8" s="9" t="inlineStr">
        <is>
          <t>GREEN</t>
        </is>
      </c>
    </row>
    <row r="9">
      <c r="A9" s="6" t="inlineStr">
        <is>
          <t>6003-CTRL-ERIK</t>
        </is>
      </c>
      <c r="B9" t="inlineStr">
        <is>
          <t>Erik Halvorsen</t>
        </is>
      </c>
      <c r="C9" t="inlineStr">
        <is>
          <t>Sektorcontroller Oppvekst og Utdanning</t>
        </is>
      </c>
      <c r="D9" t="inlineStr">
        <is>
          <t>OPPVEKST</t>
        </is>
      </c>
      <c r="E9" t="inlineStr">
        <is>
          <t>Økonomitjenesten Oppvekst</t>
        </is>
      </c>
      <c r="F9" s="6" t="inlineStr">
        <is>
          <t>Oktober</t>
        </is>
      </c>
      <c r="G9" s="7" t="n">
        <v>12000000</v>
      </c>
      <c r="H9" s="7" t="n">
        <v>9466558.290000001</v>
      </c>
      <c r="I9" s="8">
        <f>G9-H9</f>
        <v/>
      </c>
      <c r="J9" s="6" t="n">
        <v>2</v>
      </c>
      <c r="K9" s="7">
        <f>I9/MAX(1, J9)</f>
        <v/>
      </c>
      <c r="L9" t="inlineStr">
        <is>
          <t>🟢 Saldo i balanse (God kontroll)</t>
        </is>
      </c>
      <c r="M9" s="6" t="inlineStr">
        <is>
          <t>GREEN</t>
        </is>
      </c>
    </row>
    <row r="10">
      <c r="A10" s="9" t="inlineStr">
        <is>
          <t>3000-SJEF-BYUTV</t>
        </is>
      </c>
      <c r="B10" s="10" t="inlineStr">
        <is>
          <t>Ragnar Evensen</t>
        </is>
      </c>
      <c r="C10" s="10" t="inlineStr">
        <is>
          <t>Kommunalsjef By- og stedsutvikling</t>
        </is>
      </c>
      <c r="D10" s="10" t="inlineStr">
        <is>
          <t>BYUTVIKLING</t>
        </is>
      </c>
      <c r="E10" s="10" t="inlineStr">
        <is>
          <t>Kommunalsjefens stab Byutvikling</t>
        </is>
      </c>
      <c r="F10" s="9" t="inlineStr">
        <is>
          <t>Oktober</t>
        </is>
      </c>
      <c r="G10" s="11" t="n">
        <v>620000000</v>
      </c>
      <c r="H10" s="11" t="n">
        <v>495637760.97</v>
      </c>
      <c r="I10" s="12">
        <f>G10-H10</f>
        <v/>
      </c>
      <c r="J10" s="9" t="n">
        <v>2</v>
      </c>
      <c r="K10" s="11">
        <f>I10/MAX(1, J10)</f>
        <v/>
      </c>
      <c r="L10" s="10" t="inlineStr">
        <is>
          <t>🟢 Saldo i balanse (God kontroll)</t>
        </is>
      </c>
      <c r="M10" s="9" t="inlineStr">
        <is>
          <t>GREEN</t>
        </is>
      </c>
    </row>
    <row r="11">
      <c r="A11" s="6" t="inlineStr">
        <is>
          <t>5000-SJEF-HELSE</t>
        </is>
      </c>
      <c r="B11" t="inlineStr">
        <is>
          <t>Brede Skeie</t>
        </is>
      </c>
      <c r="C11" t="inlineStr">
        <is>
          <t>Kommunalsjef Helse og mestring</t>
        </is>
      </c>
      <c r="D11" t="inlineStr">
        <is>
          <t>HELSE</t>
        </is>
      </c>
      <c r="E11" t="inlineStr">
        <is>
          <t>Kommunalsjefens fagstab Helse</t>
        </is>
      </c>
      <c r="F11" s="6" t="inlineStr">
        <is>
          <t>Oktober</t>
        </is>
      </c>
      <c r="G11" s="7" t="n">
        <v>2680000000</v>
      </c>
      <c r="H11" s="7" t="n">
        <v>2142434192.58</v>
      </c>
      <c r="I11" s="8">
        <f>G11-H11</f>
        <v/>
      </c>
      <c r="J11" s="6" t="n">
        <v>2</v>
      </c>
      <c r="K11" s="7">
        <f>I11/MAX(1, J11)</f>
        <v/>
      </c>
      <c r="L11" t="inlineStr">
        <is>
          <t>🟢 Saldo i balanse (God kontroll)</t>
        </is>
      </c>
      <c r="M11" s="6" t="inlineStr">
        <is>
          <t>GREEN</t>
        </is>
      </c>
    </row>
    <row r="12">
      <c r="A12" s="9" t="inlineStr">
        <is>
          <t>0000-KOMMDIR</t>
        </is>
      </c>
      <c r="B12" s="10" t="inlineStr">
        <is>
          <t>Camilla Dunsæd</t>
        </is>
      </c>
      <c r="C12" s="10" t="inlineStr">
        <is>
          <t>Kommunedirektør</t>
        </is>
      </c>
      <c r="D12" s="10" t="inlineStr">
        <is>
          <t>KONSERN</t>
        </is>
      </c>
      <c r="E12" s="10" t="inlineStr">
        <is>
          <t>Kommunedirektørens stab</t>
        </is>
      </c>
      <c r="F12" s="9" t="inlineStr">
        <is>
          <t>Oktober</t>
        </is>
      </c>
      <c r="G12" s="11" t="n">
        <v>7240000000</v>
      </c>
      <c r="H12" s="11" t="n">
        <v>5787769982.94</v>
      </c>
      <c r="I12" s="12">
        <f>G12-H12</f>
        <v/>
      </c>
      <c r="J12" s="9" t="n">
        <v>2</v>
      </c>
      <c r="K12" s="11">
        <f>I12/MAX(1, J12)</f>
        <v/>
      </c>
      <c r="L12" s="10" t="inlineStr">
        <is>
          <t>🟢 Saldo i balanse (God kontroll)</t>
        </is>
      </c>
      <c r="M12" s="9" t="inlineStr">
        <is>
          <t>GREEN</t>
        </is>
      </c>
    </row>
    <row r="13">
      <c r="A13" s="6" t="inlineStr">
        <is>
          <t>2000-SJEF-KULTUR</t>
        </is>
      </c>
      <c r="B13" t="inlineStr">
        <is>
          <t>Camilla Jarlsby</t>
        </is>
      </c>
      <c r="C13" t="inlineStr">
        <is>
          <t>Kommunalsjef Kultur og innbyggerdialog</t>
        </is>
      </c>
      <c r="D13" t="inlineStr">
        <is>
          <t>KULTUR</t>
        </is>
      </c>
      <c r="E13" t="inlineStr">
        <is>
          <t>Kommunalsjefens stab Kultur</t>
        </is>
      </c>
      <c r="F13" s="6" t="inlineStr">
        <is>
          <t>Oktober</t>
        </is>
      </c>
      <c r="G13" s="7" t="n">
        <v>290000000</v>
      </c>
      <c r="H13" s="7" t="n">
        <v>231830565.615</v>
      </c>
      <c r="I13" s="8">
        <f>G13-H13</f>
        <v/>
      </c>
      <c r="J13" s="6" t="n">
        <v>2</v>
      </c>
      <c r="K13" s="7">
        <f>I13/MAX(1, J13)</f>
        <v/>
      </c>
      <c r="L13" t="inlineStr">
        <is>
          <t>🟢 Saldo i balanse (God kontroll)</t>
        </is>
      </c>
      <c r="M13" s="6" t="inlineStr">
        <is>
          <t>GREEN</t>
        </is>
      </c>
    </row>
    <row r="14">
      <c r="A14" s="9" t="inlineStr">
        <is>
          <t>6000-DIR-OKONOMI</t>
        </is>
      </c>
      <c r="B14" s="10" t="inlineStr">
        <is>
          <t>Terje Fjellvang</t>
        </is>
      </c>
      <c r="C14" s="10" t="inlineStr">
        <is>
          <t>Økonomidirektør</t>
        </is>
      </c>
      <c r="D14" s="10" t="inlineStr">
        <is>
          <t>OKONOMI</t>
        </is>
      </c>
      <c r="E14" s="10" t="inlineStr">
        <is>
          <t>Sentral økonomistab</t>
        </is>
      </c>
      <c r="F14" s="9" t="inlineStr">
        <is>
          <t>Oktober</t>
        </is>
      </c>
      <c r="G14" s="11" t="n">
        <v>1160000000</v>
      </c>
      <c r="H14" s="11" t="n">
        <v>927322262.46</v>
      </c>
      <c r="I14" s="12">
        <f>G14-H14</f>
        <v/>
      </c>
      <c r="J14" s="9" t="n">
        <v>2</v>
      </c>
      <c r="K14" s="11">
        <f>I14/MAX(1, J14)</f>
        <v/>
      </c>
      <c r="L14" s="10" t="inlineStr">
        <is>
          <t>🟢 Saldo i balanse (God kontroll)</t>
        </is>
      </c>
      <c r="M14" s="9" t="inlineStr">
        <is>
          <t>GREEN</t>
        </is>
      </c>
    </row>
    <row r="15">
      <c r="A15" s="6" t="inlineStr">
        <is>
          <t>4000-SJEF-OPPV</t>
        </is>
      </c>
      <c r="B15" t="inlineStr">
        <is>
          <t>Kristin Eidet Robstad</t>
        </is>
      </c>
      <c r="C15" t="inlineStr">
        <is>
          <t>Kommunalsjef Oppvekst og utdanning</t>
        </is>
      </c>
      <c r="D15" t="inlineStr">
        <is>
          <t>OPPVEKST</t>
        </is>
      </c>
      <c r="E15" t="inlineStr">
        <is>
          <t>Kommunalsjefens fagstab Oppvekst</t>
        </is>
      </c>
      <c r="F15" s="6" t="inlineStr">
        <is>
          <t>Oktober</t>
        </is>
      </c>
      <c r="G15" s="7" t="n">
        <v>2150000000</v>
      </c>
      <c r="H15" s="7" t="n">
        <v>1718743848.525</v>
      </c>
      <c r="I15" s="8">
        <f>G15-H15</f>
        <v/>
      </c>
      <c r="J15" s="6" t="n">
        <v>2</v>
      </c>
      <c r="K15" s="7">
        <f>I15/MAX(1, J15)</f>
        <v/>
      </c>
      <c r="L15" t="inlineStr">
        <is>
          <t>🟢 Saldo i balanse (God kontroll)</t>
        </is>
      </c>
      <c r="M15" s="6" t="inlineStr">
        <is>
          <t>GREEN</t>
        </is>
      </c>
    </row>
    <row r="16">
      <c r="A16" s="9" t="inlineStr">
        <is>
          <t>1000-SJEF-ORGTEK</t>
        </is>
      </c>
      <c r="B16" s="10" t="inlineStr">
        <is>
          <t>Geir A. Askvik</t>
        </is>
      </c>
      <c r="C16" s="10" t="inlineStr">
        <is>
          <t>Kommunalsjef Organisasjon og teknologi</t>
        </is>
      </c>
      <c r="D16" s="10" t="inlineStr">
        <is>
          <t>ORG_TEK</t>
        </is>
      </c>
      <c r="E16" s="10" t="inlineStr">
        <is>
          <t>Kommunalsjefens stab Org &amp; Tek</t>
        </is>
      </c>
      <c r="F16" s="9" t="inlineStr">
        <is>
          <t>Oktober</t>
        </is>
      </c>
      <c r="G16" s="11" t="n">
        <v>340000000</v>
      </c>
      <c r="H16" s="11" t="n">
        <v>271801352.79</v>
      </c>
      <c r="I16" s="12">
        <f>G16-H16</f>
        <v/>
      </c>
      <c r="J16" s="9" t="n">
        <v>2</v>
      </c>
      <c r="K16" s="11">
        <f>I16/MAX(1, J16)</f>
        <v/>
      </c>
      <c r="L16" s="10" t="inlineStr">
        <is>
          <t>🟢 Saldo i balanse (God kontroll)</t>
        </is>
      </c>
      <c r="M16" s="9" t="inlineStr">
        <is>
          <t>GREEN</t>
        </is>
      </c>
    </row>
    <row r="17">
      <c r="A17" s="6" t="inlineStr">
        <is>
          <t>3100-DIR-VAR</t>
        </is>
      </c>
      <c r="B17" t="inlineStr">
        <is>
          <t>Helge Møller</t>
        </is>
      </c>
      <c r="C17" t="inlineStr">
        <is>
          <t>VA-sjef &amp; Kommunalteknisk Direktør</t>
        </is>
      </c>
      <c r="D17" t="inlineStr">
        <is>
          <t>BYUTVIKLING</t>
        </is>
      </c>
      <c r="E17" t="inlineStr">
        <is>
          <t>Ingeniørvesenet (Vann, Avløp &amp; Renovasjon)</t>
        </is>
      </c>
      <c r="F17" s="6" t="inlineStr">
        <is>
          <t>Oktober</t>
        </is>
      </c>
      <c r="G17" s="7" t="n">
        <v>95000000</v>
      </c>
      <c r="H17" s="7" t="n">
        <v>75944495.63250001</v>
      </c>
      <c r="I17" s="8">
        <f>G17-H17</f>
        <v/>
      </c>
      <c r="J17" s="6" t="n">
        <v>2</v>
      </c>
      <c r="K17" s="7">
        <f>I17/MAX(1, J17)</f>
        <v/>
      </c>
      <c r="L17" t="inlineStr">
        <is>
          <t>🟢 Saldo i balanse (God kontroll)</t>
        </is>
      </c>
      <c r="M17" s="6" t="inlineStr">
        <is>
          <t>GREEN</t>
        </is>
      </c>
    </row>
    <row r="18">
      <c r="A18" s="9" t="inlineStr">
        <is>
          <t>3200-DIR-PLAN</t>
        </is>
      </c>
      <c r="B18" s="10" t="inlineStr">
        <is>
          <t>Einar Jørgensen</t>
        </is>
      </c>
      <c r="C18" s="10" t="inlineStr">
        <is>
          <t>Områdeleder Byplan &amp; Byggesak</t>
        </is>
      </c>
      <c r="D18" s="10" t="inlineStr">
        <is>
          <t>BYUTVIKLING</t>
        </is>
      </c>
      <c r="E18" s="10" t="inlineStr">
        <is>
          <t>Plan- og bygningsetaten</t>
        </is>
      </c>
      <c r="F18" s="9" t="inlineStr">
        <is>
          <t>Oktober</t>
        </is>
      </c>
      <c r="G18" s="11" t="n">
        <v>95000000</v>
      </c>
      <c r="H18" s="11" t="n">
        <v>75944495.63250001</v>
      </c>
      <c r="I18" s="12">
        <f>G18-H18</f>
        <v/>
      </c>
      <c r="J18" s="9" t="n">
        <v>2</v>
      </c>
      <c r="K18" s="11">
        <f>I18/MAX(1, J18)</f>
        <v/>
      </c>
      <c r="L18" s="10" t="inlineStr">
        <is>
          <t>🟢 Saldo i balanse (God kontroll)</t>
        </is>
      </c>
      <c r="M18" s="9" t="inlineStr">
        <is>
          <t>GREEN</t>
        </is>
      </c>
    </row>
    <row r="19">
      <c r="A19" s="6" t="inlineStr">
        <is>
          <t>5100-OMR-SYKEHJEM</t>
        </is>
      </c>
      <c r="B19" t="inlineStr">
        <is>
          <t>Mette Syvertsen</t>
        </is>
      </c>
      <c r="C19" t="inlineStr">
        <is>
          <t>Områdeleder Institusjon &amp; Døgnpleie</t>
        </is>
      </c>
      <c r="D19" t="inlineStr">
        <is>
          <t>HELSE</t>
        </is>
      </c>
      <c r="E19" t="inlineStr">
        <is>
          <t>Døgnomsorg og Sykehjem</t>
        </is>
      </c>
      <c r="F19" s="6" t="inlineStr">
        <is>
          <t>Oktober</t>
        </is>
      </c>
      <c r="G19" s="7" t="n">
        <v>95000000</v>
      </c>
      <c r="H19" s="7" t="n">
        <v>81899905.19400001</v>
      </c>
      <c r="I19" s="8">
        <f>G19-H19</f>
        <v/>
      </c>
      <c r="J19" s="6" t="n">
        <v>2</v>
      </c>
      <c r="K19" s="7">
        <f>I19/MAX(1, J19)</f>
        <v/>
      </c>
      <c r="L19" t="inlineStr">
        <is>
          <t>🔴 Fare for overtrekk (Merforbruk)</t>
        </is>
      </c>
      <c r="M19" s="6" t="inlineStr">
        <is>
          <t>RED</t>
        </is>
      </c>
    </row>
    <row r="20">
      <c r="A20" s="9" t="inlineStr">
        <is>
          <t>5200-OMR-HJEMME</t>
        </is>
      </c>
      <c r="B20" s="10" t="inlineStr">
        <is>
          <t>Arve Sætre</t>
        </is>
      </c>
      <c r="C20" s="10" t="inlineStr">
        <is>
          <t>Områdeleder Hjemmebaserte Tjenester</t>
        </is>
      </c>
      <c r="D20" s="10" t="inlineStr">
        <is>
          <t>HELSE</t>
        </is>
      </c>
      <c r="E20" s="10" t="inlineStr">
        <is>
          <t>Hjemmetjenester og rehabilitering</t>
        </is>
      </c>
      <c r="F20" s="9" t="inlineStr">
        <is>
          <t>Oktober</t>
        </is>
      </c>
      <c r="G20" s="11" t="n">
        <v>95000000</v>
      </c>
      <c r="H20" s="11" t="n">
        <v>75944495.63250001</v>
      </c>
      <c r="I20" s="12">
        <f>G20-H20</f>
        <v/>
      </c>
      <c r="J20" s="9" t="n">
        <v>2</v>
      </c>
      <c r="K20" s="11">
        <f>I20/MAX(1, J20)</f>
        <v/>
      </c>
      <c r="L20" s="10" t="inlineStr">
        <is>
          <t>🟢 Saldo i balanse (God kontroll)</t>
        </is>
      </c>
      <c r="M20" s="9" t="inlineStr">
        <is>
          <t>GREEN</t>
        </is>
      </c>
    </row>
    <row r="21">
      <c r="A21" s="6" t="inlineStr">
        <is>
          <t>6100-DIR-REGNSKAP</t>
        </is>
      </c>
      <c r="B21" t="inlineStr">
        <is>
          <t>Bente Gundersen</t>
        </is>
      </c>
      <c r="C21" t="inlineStr">
        <is>
          <t>Konsernregnskapssjef</t>
        </is>
      </c>
      <c r="D21" t="inlineStr">
        <is>
          <t>OKONOMI</t>
        </is>
      </c>
      <c r="E21" t="inlineStr">
        <is>
          <t>Konsernregnskap og Lønnssentral</t>
        </is>
      </c>
      <c r="F21" s="6" t="inlineStr">
        <is>
          <t>Oktober</t>
        </is>
      </c>
      <c r="G21" s="7" t="n">
        <v>95000000</v>
      </c>
      <c r="H21" s="7" t="n">
        <v>75944495.63250001</v>
      </c>
      <c r="I21" s="8">
        <f>G21-H21</f>
        <v/>
      </c>
      <c r="J21" s="6" t="n">
        <v>2</v>
      </c>
      <c r="K21" s="7">
        <f>I21/MAX(1, J21)</f>
        <v/>
      </c>
      <c r="L21" t="inlineStr">
        <is>
          <t>🟢 Saldo i balanse (God kontroll)</t>
        </is>
      </c>
      <c r="M21" s="6" t="inlineStr">
        <is>
          <t>GREEN</t>
        </is>
      </c>
    </row>
    <row r="22">
      <c r="A22" s="9" t="inlineStr">
        <is>
          <t>4100-OMR-SKOLE</t>
        </is>
      </c>
      <c r="B22" s="10" t="inlineStr">
        <is>
          <t>Svein Tore Kvernes</t>
        </is>
      </c>
      <c r="C22" s="10" t="inlineStr">
        <is>
          <t>Skolesjef Grunnskole</t>
        </is>
      </c>
      <c r="D22" s="10" t="inlineStr">
        <is>
          <t>OPPVEKST</t>
        </is>
      </c>
      <c r="E22" s="10" t="inlineStr">
        <is>
          <t>Grunnskoleavdelingen (28 skoler)</t>
        </is>
      </c>
      <c r="F22" s="9" t="inlineStr">
        <is>
          <t>Oktober</t>
        </is>
      </c>
      <c r="G22" s="11" t="n">
        <v>95000000</v>
      </c>
      <c r="H22" s="11" t="n">
        <v>75944495.63250001</v>
      </c>
      <c r="I22" s="12">
        <f>G22-H22</f>
        <v/>
      </c>
      <c r="J22" s="9" t="n">
        <v>2</v>
      </c>
      <c r="K22" s="11">
        <f>I22/MAX(1, J22)</f>
        <v/>
      </c>
      <c r="L22" s="10" t="inlineStr">
        <is>
          <t>🟢 Saldo i balanse (God kontroll)</t>
        </is>
      </c>
      <c r="M22" s="9" t="inlineStr">
        <is>
          <t>GREEN</t>
        </is>
      </c>
    </row>
    <row r="23">
      <c r="A23" s="6" t="inlineStr">
        <is>
          <t>4200-OMR-BHG</t>
        </is>
      </c>
      <c r="B23" t="inlineStr">
        <is>
          <t>Anne Lise Tønnessen</t>
        </is>
      </c>
      <c r="C23" t="inlineStr">
        <is>
          <t>Barnehagesjef</t>
        </is>
      </c>
      <c r="D23" t="inlineStr">
        <is>
          <t>OPPVEKST</t>
        </is>
      </c>
      <c r="E23" t="inlineStr">
        <is>
          <t>Barnehageavdelingen (54 barnehager)</t>
        </is>
      </c>
      <c r="F23" s="6" t="inlineStr">
        <is>
          <t>Oktober</t>
        </is>
      </c>
      <c r="G23" s="7" t="n">
        <v>95000000</v>
      </c>
      <c r="H23" s="7" t="n">
        <v>75944495.63250001</v>
      </c>
      <c r="I23" s="8">
        <f>G23-H23</f>
        <v/>
      </c>
      <c r="J23" s="6" t="n">
        <v>2</v>
      </c>
      <c r="K23" s="7">
        <f>I23/MAX(1, J23)</f>
        <v/>
      </c>
      <c r="L23" t="inlineStr">
        <is>
          <t>🟢 Saldo i balanse (God kontroll)</t>
        </is>
      </c>
      <c r="M23" s="6" t="inlineStr">
        <is>
          <t>GREEN</t>
        </is>
      </c>
    </row>
    <row r="24">
      <c r="A24" s="9" t="inlineStr">
        <is>
          <t>1100-DIR-IKT</t>
        </is>
      </c>
      <c r="B24" s="10" t="inlineStr">
        <is>
          <t>Siri Bentsen</t>
        </is>
      </c>
      <c r="C24" s="10" t="inlineStr">
        <is>
          <t>IKT- og Digitaliseringsdirektør</t>
        </is>
      </c>
      <c r="D24" s="10" t="inlineStr">
        <is>
          <t>ORG_TEK</t>
        </is>
      </c>
      <c r="E24" s="10" t="inlineStr">
        <is>
          <t>Digitaliseringsavdelingen</t>
        </is>
      </c>
      <c r="F24" s="9" t="inlineStr">
        <is>
          <t>Oktober</t>
        </is>
      </c>
      <c r="G24" s="11" t="n">
        <v>45200000</v>
      </c>
      <c r="H24" s="11" t="n">
        <v>36133591.60620001</v>
      </c>
      <c r="I24" s="12">
        <f>G24-H24</f>
        <v/>
      </c>
      <c r="J24" s="9" t="n">
        <v>2</v>
      </c>
      <c r="K24" s="11">
        <f>I24/MAX(1, J24)</f>
        <v/>
      </c>
      <c r="L24" s="10" t="inlineStr">
        <is>
          <t>🟢 Saldo i balanse (God kontroll)</t>
        </is>
      </c>
      <c r="M24" s="9" t="inlineStr">
        <is>
          <t>GREEN</t>
        </is>
      </c>
    </row>
    <row r="25">
      <c r="A25" s="6" t="inlineStr">
        <is>
          <t>3100-ENH-302</t>
        </is>
      </c>
      <c r="B25" t="inlineStr">
        <is>
          <t>Inger Johanne Foss</t>
        </is>
      </c>
      <c r="C25" t="inlineStr">
        <is>
          <t>Enhetsleder VAR Ingeniørvesen</t>
        </is>
      </c>
      <c r="D25" t="inlineStr">
        <is>
          <t>BYUTVIKLING</t>
        </is>
      </c>
      <c r="E25" t="inlineStr">
        <is>
          <t>Enhet 302: Vann, Avløp og Renovasjon</t>
        </is>
      </c>
      <c r="F25" s="6" t="inlineStr">
        <is>
          <t>Oktober</t>
        </is>
      </c>
      <c r="G25" s="7" t="n">
        <v>68400000</v>
      </c>
      <c r="H25" s="7" t="n">
        <v>53490956.76143999</v>
      </c>
      <c r="I25" s="8">
        <f>G25-H25</f>
        <v/>
      </c>
      <c r="J25" s="6" t="n">
        <v>2</v>
      </c>
      <c r="K25" s="7">
        <f>I25/MAX(1, J25)</f>
        <v/>
      </c>
      <c r="L25" t="inlineStr">
        <is>
          <t>🟢 Saldo i balanse (God kontroll)</t>
        </is>
      </c>
      <c r="M25" s="6" t="inlineStr">
        <is>
          <t>GREEN</t>
        </is>
      </c>
    </row>
    <row r="26">
      <c r="A26" s="9" t="inlineStr">
        <is>
          <t>3300-ENH-301</t>
        </is>
      </c>
      <c r="B26" s="10" t="inlineStr">
        <is>
          <t>Hans Petter Vik</t>
        </is>
      </c>
      <c r="C26" s="10" t="inlineStr">
        <is>
          <t>Enhetsleder Byggesak &amp; Tilsyn</t>
        </is>
      </c>
      <c r="D26" s="10" t="inlineStr">
        <is>
          <t>BYUTVIKLING</t>
        </is>
      </c>
      <c r="E26" s="10" t="inlineStr">
        <is>
          <t>Enhet 301: Byggesak og Tilsyn</t>
        </is>
      </c>
      <c r="F26" s="9" t="inlineStr">
        <is>
          <t>Oktober</t>
        </is>
      </c>
      <c r="G26" s="11" t="n">
        <v>24150000</v>
      </c>
      <c r="H26" s="11" t="n">
        <v>18542565.264825</v>
      </c>
      <c r="I26" s="12">
        <f>G26-H26</f>
        <v/>
      </c>
      <c r="J26" s="9" t="n">
        <v>2</v>
      </c>
      <c r="K26" s="11">
        <f>I26/MAX(1, J26)</f>
        <v/>
      </c>
      <c r="L26" s="10" t="inlineStr">
        <is>
          <t>🟢 Saldo i balanse (God kontroll)</t>
        </is>
      </c>
      <c r="M26" s="9" t="inlineStr">
        <is>
          <t>GREEN</t>
        </is>
      </c>
    </row>
    <row r="27">
      <c r="A27" s="6" t="inlineStr">
        <is>
          <t>5200-ENH-401</t>
        </is>
      </c>
      <c r="B27" t="inlineStr">
        <is>
          <t>Solveig Grimstad</t>
        </is>
      </c>
      <c r="C27" t="inlineStr">
        <is>
          <t>Enhetsleder Strai Sykehjem</t>
        </is>
      </c>
      <c r="D27" t="inlineStr">
        <is>
          <t>HELSE</t>
        </is>
      </c>
      <c r="E27" t="inlineStr">
        <is>
          <t>Enhet 401: Strai Sykehjem &amp; Omsorgsboliger</t>
        </is>
      </c>
      <c r="F27" s="6" t="inlineStr">
        <is>
          <t>Oktober</t>
        </is>
      </c>
      <c r="G27" s="7" t="n">
        <v>50339000</v>
      </c>
      <c r="H27" s="7" t="n">
        <v>43397466.60590279</v>
      </c>
      <c r="I27" s="8">
        <f>G27-H27</f>
        <v/>
      </c>
      <c r="J27" s="6" t="n">
        <v>2</v>
      </c>
      <c r="K27" s="7">
        <f>I27/MAX(1, J27)</f>
        <v/>
      </c>
      <c r="L27" t="inlineStr">
        <is>
          <t>🔴 Fare for overtrekk (Merforbruk)</t>
        </is>
      </c>
      <c r="M27" s="6" t="inlineStr">
        <is>
          <t>RED</t>
        </is>
      </c>
    </row>
    <row r="28">
      <c r="A28" s="9" t="inlineStr">
        <is>
          <t>5210-ENH-402</t>
        </is>
      </c>
      <c r="B28" s="10" t="inlineStr">
        <is>
          <t>Berit Olsen</t>
        </is>
      </c>
      <c r="C28" s="10" t="inlineStr">
        <is>
          <t>Enhetsleder Hjemmetjeneste Vågsbygd</t>
        </is>
      </c>
      <c r="D28" s="10" t="inlineStr">
        <is>
          <t>HELSE</t>
        </is>
      </c>
      <c r="E28" s="10" t="inlineStr">
        <is>
          <t>Enhet 402: Hjemmetjenesten Vågsbygd</t>
        </is>
      </c>
      <c r="F28" s="9" t="inlineStr">
        <is>
          <t>Oktober</t>
        </is>
      </c>
      <c r="G28" s="11" t="n">
        <v>42800000</v>
      </c>
      <c r="H28" s="11" t="n">
        <v>33764057.901</v>
      </c>
      <c r="I28" s="12">
        <f>G28-H28</f>
        <v/>
      </c>
      <c r="J28" s="9" t="n">
        <v>2</v>
      </c>
      <c r="K28" s="11">
        <f>I28/MAX(1, J28)</f>
        <v/>
      </c>
      <c r="L28" s="10" t="inlineStr">
        <is>
          <t>🟢 Saldo i balanse (God kontroll)</t>
        </is>
      </c>
      <c r="M28" s="9" t="inlineStr">
        <is>
          <t>GREEN</t>
        </is>
      </c>
    </row>
    <row r="29">
      <c r="A29" s="6" t="inlineStr">
        <is>
          <t>5220-ENH-403</t>
        </is>
      </c>
      <c r="B29" t="inlineStr">
        <is>
          <t>Christian Holte</t>
        </is>
      </c>
      <c r="C29" t="inlineStr">
        <is>
          <t>Enhetsleder Bo- og Miljøtjenester</t>
        </is>
      </c>
      <c r="D29" t="inlineStr">
        <is>
          <t>HELSE</t>
        </is>
      </c>
      <c r="E29" t="inlineStr">
        <is>
          <t>Enhet 403: Sørlandsparken Bo- og Miljøtjeneste</t>
        </is>
      </c>
      <c r="F29" s="6" t="inlineStr">
        <is>
          <t>Oktober</t>
        </is>
      </c>
      <c r="G29" s="7" t="n">
        <v>38600000</v>
      </c>
      <c r="H29" s="7" t="n">
        <v>30450762.4995</v>
      </c>
      <c r="I29" s="8">
        <f>G29-H29</f>
        <v/>
      </c>
      <c r="J29" s="6" t="n">
        <v>2</v>
      </c>
      <c r="K29" s="7">
        <f>I29/MAX(1, J29)</f>
        <v/>
      </c>
      <c r="L29" t="inlineStr">
        <is>
          <t>🟢 Saldo i balanse (God kontroll)</t>
        </is>
      </c>
      <c r="M29" s="6" t="inlineStr">
        <is>
          <t>GREEN</t>
        </is>
      </c>
    </row>
    <row r="30">
      <c r="A30" s="9" t="inlineStr">
        <is>
          <t>5230-ENH-404</t>
        </is>
      </c>
      <c r="B30" s="10" t="inlineStr">
        <is>
          <t>Kari Vesterhus</t>
        </is>
      </c>
      <c r="C30" s="10" t="inlineStr">
        <is>
          <t>Enhetsleder Presteheia Omsorgssenter</t>
        </is>
      </c>
      <c r="D30" s="10" t="inlineStr">
        <is>
          <t>HELSE</t>
        </is>
      </c>
      <c r="E30" s="10" t="inlineStr">
        <is>
          <t>Enhet 404: Presteheia Omsorgssenter</t>
        </is>
      </c>
      <c r="F30" s="9" t="inlineStr">
        <is>
          <t>Oktober</t>
        </is>
      </c>
      <c r="G30" s="11" t="n">
        <v>29400000</v>
      </c>
      <c r="H30" s="11" t="n">
        <v>23193067.8105</v>
      </c>
      <c r="I30" s="12">
        <f>G30-H30</f>
        <v/>
      </c>
      <c r="J30" s="9" t="n">
        <v>2</v>
      </c>
      <c r="K30" s="11">
        <f>I30/MAX(1, J30)</f>
        <v/>
      </c>
      <c r="L30" s="10" t="inlineStr">
        <is>
          <t>🟢 Saldo i balanse (God kontroll)</t>
        </is>
      </c>
      <c r="M30" s="9" t="inlineStr">
        <is>
          <t>GREEN</t>
        </is>
      </c>
    </row>
    <row r="31">
      <c r="A31" s="6" t="inlineStr">
        <is>
          <t>2200-ENH-101</t>
        </is>
      </c>
      <c r="B31" t="inlineStr">
        <is>
          <t>Hege Gabrielsen</t>
        </is>
      </c>
      <c r="C31" t="inlineStr">
        <is>
          <t>Biblioteksjef</t>
        </is>
      </c>
      <c r="D31" t="inlineStr">
        <is>
          <t>KULTUR</t>
        </is>
      </c>
      <c r="E31" t="inlineStr">
        <is>
          <t>Enhet 101: Kristiansand Folkebibliotek</t>
        </is>
      </c>
      <c r="F31" s="6" t="inlineStr">
        <is>
          <t>Oktober</t>
        </is>
      </c>
      <c r="G31" s="7" t="n">
        <v>22500000</v>
      </c>
      <c r="H31" s="7" t="n">
        <v>17749796.79375</v>
      </c>
      <c r="I31" s="8">
        <f>G31-H31</f>
        <v/>
      </c>
      <c r="J31" s="6" t="n">
        <v>2</v>
      </c>
      <c r="K31" s="7">
        <f>I31/MAX(1, J31)</f>
        <v/>
      </c>
      <c r="L31" t="inlineStr">
        <is>
          <t>🟢 Saldo i balanse (God kontroll)</t>
        </is>
      </c>
      <c r="M31" s="6" t="inlineStr">
        <is>
          <t>GREEN</t>
        </is>
      </c>
    </row>
    <row r="32">
      <c r="A32" s="9" t="inlineStr">
        <is>
          <t>6200-ENH-601</t>
        </is>
      </c>
      <c r="B32" s="10" t="inlineStr">
        <is>
          <t>Knut Ingebrigtsen</t>
        </is>
      </c>
      <c r="C32" s="10" t="inlineStr">
        <is>
          <t>Finans- og Gjeldsforvalter</t>
        </is>
      </c>
      <c r="D32" s="10" t="inlineStr">
        <is>
          <t>OKONOMI</t>
        </is>
      </c>
      <c r="E32" s="10" t="inlineStr">
        <is>
          <t>Enhet 601: Finans- og Likviditetsforvaltning</t>
        </is>
      </c>
      <c r="F32" s="9" t="inlineStr">
        <is>
          <t>Oktober</t>
        </is>
      </c>
      <c r="G32" s="11" t="n">
        <v>22500000</v>
      </c>
      <c r="H32" s="11" t="n">
        <v>17749796.79375</v>
      </c>
      <c r="I32" s="12">
        <f>G32-H32</f>
        <v/>
      </c>
      <c r="J32" s="9" t="n">
        <v>2</v>
      </c>
      <c r="K32" s="11">
        <f>I32/MAX(1, J32)</f>
        <v/>
      </c>
      <c r="L32" s="10" t="inlineStr">
        <is>
          <t>🟢 Saldo i balanse (God kontroll)</t>
        </is>
      </c>
      <c r="M32" s="9" t="inlineStr">
        <is>
          <t>GREEN</t>
        </is>
      </c>
    </row>
    <row r="33">
      <c r="A33" s="6" t="inlineStr">
        <is>
          <t>4100-ENH-202</t>
        </is>
      </c>
      <c r="B33" t="inlineStr">
        <is>
          <t>Trond Jensen</t>
        </is>
      </c>
      <c r="C33" t="inlineStr">
        <is>
          <t>Rektor / Enhetsleder Lovisenlev Skole</t>
        </is>
      </c>
      <c r="D33" t="inlineStr">
        <is>
          <t>OPPVEKST</t>
        </is>
      </c>
      <c r="E33" t="inlineStr">
        <is>
          <t>Enhet 202: Lovisenlev Skole</t>
        </is>
      </c>
      <c r="F33" s="6" t="inlineStr">
        <is>
          <t>Oktober</t>
        </is>
      </c>
      <c r="G33" s="7" t="n">
        <v>33591000</v>
      </c>
      <c r="H33" s="7" t="n">
        <v>28569642.3310446</v>
      </c>
      <c r="I33" s="8">
        <f>G33-H33</f>
        <v/>
      </c>
      <c r="J33" s="6" t="n">
        <v>2</v>
      </c>
      <c r="K33" s="7">
        <f>I33/MAX(1, J33)</f>
        <v/>
      </c>
      <c r="L33" t="inlineStr">
        <is>
          <t>🔴 Fare for overtrekk (Merforbruk)</t>
        </is>
      </c>
      <c r="M33" s="6" t="inlineStr">
        <is>
          <t>RED</t>
        </is>
      </c>
    </row>
    <row r="34">
      <c r="A34" s="9" t="inlineStr">
        <is>
          <t>4101-ENH-203</t>
        </is>
      </c>
      <c r="B34" s="10" t="inlineStr">
        <is>
          <t>Mona Lindstrøm</t>
        </is>
      </c>
      <c r="C34" s="10" t="inlineStr">
        <is>
          <t>Rektor Vågsbygd Skole</t>
        </is>
      </c>
      <c r="D34" s="10" t="inlineStr">
        <is>
          <t>OPPVEKST</t>
        </is>
      </c>
      <c r="E34" s="10" t="inlineStr">
        <is>
          <t>Enhet 203: Vågsbygd Skole</t>
        </is>
      </c>
      <c r="F34" s="9" t="inlineStr">
        <is>
          <t>Oktober</t>
        </is>
      </c>
      <c r="G34" s="11" t="n">
        <v>31200000</v>
      </c>
      <c r="H34" s="11" t="n">
        <v>26536061.46672</v>
      </c>
      <c r="I34" s="12">
        <f>G34-H34</f>
        <v/>
      </c>
      <c r="J34" s="9" t="n">
        <v>2</v>
      </c>
      <c r="K34" s="11">
        <f>I34/MAX(1, J34)</f>
        <v/>
      </c>
      <c r="L34" s="10" t="inlineStr">
        <is>
          <t>🔴 Fare for overtrekk (Merforbruk)</t>
        </is>
      </c>
      <c r="M34" s="9" t="inlineStr">
        <is>
          <t>RED</t>
        </is>
      </c>
    </row>
    <row r="35">
      <c r="A35" s="6" t="inlineStr">
        <is>
          <t>4102-ENH-204</t>
        </is>
      </c>
      <c r="B35" t="inlineStr">
        <is>
          <t>Espen Birkeland</t>
        </is>
      </c>
      <c r="C35" t="inlineStr">
        <is>
          <t>Rektor Grim Ungdomsskole</t>
        </is>
      </c>
      <c r="D35" t="inlineStr">
        <is>
          <t>OPPVEKST</t>
        </is>
      </c>
      <c r="E35" t="inlineStr">
        <is>
          <t>Enhet 204: Grim Ungdomsskole</t>
        </is>
      </c>
      <c r="F35" s="6" t="inlineStr">
        <is>
          <t>Oktober</t>
        </is>
      </c>
      <c r="G35" s="7" t="n">
        <v>28900000</v>
      </c>
      <c r="H35" s="7" t="n">
        <v>22798627.88175</v>
      </c>
      <c r="I35" s="8">
        <f>G35-H35</f>
        <v/>
      </c>
      <c r="J35" s="6" t="n">
        <v>2</v>
      </c>
      <c r="K35" s="7">
        <f>I35/MAX(1, J35)</f>
        <v/>
      </c>
      <c r="L35" t="inlineStr">
        <is>
          <t>🟢 Saldo i balanse (God kontroll)</t>
        </is>
      </c>
      <c r="M35" s="6" t="inlineStr">
        <is>
          <t>GREEN</t>
        </is>
      </c>
    </row>
    <row r="36">
      <c r="A36" s="9" t="inlineStr">
        <is>
          <t>4210-ENH-211</t>
        </is>
      </c>
      <c r="B36" s="10" t="inlineStr">
        <is>
          <t>Grete Hovden</t>
        </is>
      </c>
      <c r="C36" s="10" t="inlineStr">
        <is>
          <t>Styrer Lund Barnehage</t>
        </is>
      </c>
      <c r="D36" s="10" t="inlineStr">
        <is>
          <t>OPPVEKST</t>
        </is>
      </c>
      <c r="E36" s="10" t="inlineStr">
        <is>
          <t>Enhet 211: Lund Kommunale Barnehage</t>
        </is>
      </c>
      <c r="F36" s="9" t="inlineStr">
        <is>
          <t>Oktober</t>
        </is>
      </c>
      <c r="G36" s="11" t="n">
        <v>18900000</v>
      </c>
      <c r="H36" s="11" t="n">
        <v>14909829.30675</v>
      </c>
      <c r="I36" s="12">
        <f>G36-H36</f>
        <v/>
      </c>
      <c r="J36" s="9" t="n">
        <v>2</v>
      </c>
      <c r="K36" s="11">
        <f>I36/MAX(1, J36)</f>
        <v/>
      </c>
      <c r="L36" s="10" t="inlineStr">
        <is>
          <t>🟢 Saldo i balanse (God kontroll)</t>
        </is>
      </c>
      <c r="M36" s="9" t="inlineStr">
        <is>
          <t>GREEN</t>
        </is>
      </c>
    </row>
    <row r="37">
      <c r="A37" s="6" t="inlineStr">
        <is>
          <t>1110-ENH-501</t>
        </is>
      </c>
      <c r="B37" t="inlineStr">
        <is>
          <t>Kenneth Dale</t>
        </is>
      </c>
      <c r="C37" t="inlineStr">
        <is>
          <t>IKT Driftssjef</t>
        </is>
      </c>
      <c r="D37" t="inlineStr">
        <is>
          <t>ORG_TEK</t>
        </is>
      </c>
      <c r="E37" t="inlineStr">
        <is>
          <t>Enhet 501: IKT Drift &amp; Brukerstøtte</t>
        </is>
      </c>
      <c r="F37" s="6" t="inlineStr">
        <is>
          <t>Oktober</t>
        </is>
      </c>
      <c r="G37" s="7" t="n">
        <v>22500000</v>
      </c>
      <c r="H37" s="7" t="n">
        <v>17749796.79375</v>
      </c>
      <c r="I37" s="8">
        <f>G37-H37</f>
        <v/>
      </c>
      <c r="J37" s="6" t="n">
        <v>2</v>
      </c>
      <c r="K37" s="7">
        <f>I37/MAX(1, J37)</f>
        <v/>
      </c>
      <c r="L37" t="inlineStr">
        <is>
          <t>🟢 Saldo i balanse (God kontroll)</t>
        </is>
      </c>
      <c r="M37" s="6" t="inlineStr">
        <is>
          <t>GREEN</t>
        </is>
      </c>
    </row>
    <row r="38">
      <c r="A38" s="9" t="inlineStr">
        <is>
          <t>3101-SEK-AVLOP</t>
        </is>
      </c>
      <c r="B38" s="10" t="inlineStr">
        <is>
          <t>Vidar Aanensen</t>
        </is>
      </c>
      <c r="C38" s="10" t="inlineStr">
        <is>
          <t>Seksjonsleder Lund Renseanlegg</t>
        </is>
      </c>
      <c r="D38" s="10" t="inlineStr">
        <is>
          <t>BYUTVIKLING</t>
        </is>
      </c>
      <c r="E38" s="10" t="inlineStr">
        <is>
          <t>VAR Ingeniørvesenet — Renseanlegg Lund</t>
        </is>
      </c>
      <c r="F38" s="9" t="inlineStr">
        <is>
          <t>Oktober</t>
        </is>
      </c>
      <c r="G38" s="11" t="n">
        <v>12000000</v>
      </c>
      <c r="H38" s="11" t="n">
        <v>9384378.3792</v>
      </c>
      <c r="I38" s="12">
        <f>G38-H38</f>
        <v/>
      </c>
      <c r="J38" s="9" t="n">
        <v>2</v>
      </c>
      <c r="K38" s="11">
        <f>I38/MAX(1, J38)</f>
        <v/>
      </c>
      <c r="L38" s="10" t="inlineStr">
        <is>
          <t>🟢 Saldo i balanse (God kontroll)</t>
        </is>
      </c>
      <c r="M38" s="9" t="inlineStr">
        <is>
          <t>GREEN</t>
        </is>
      </c>
    </row>
    <row r="39">
      <c r="A39" s="6" t="inlineStr">
        <is>
          <t>5201-SEK-DEMENS</t>
        </is>
      </c>
      <c r="B39" t="inlineStr">
        <is>
          <t>Tone Røyseland</t>
        </is>
      </c>
      <c r="C39" t="inlineStr">
        <is>
          <t>Avdelingsleder Demensavdelingen</t>
        </is>
      </c>
      <c r="D39" t="inlineStr">
        <is>
          <t>HELSE</t>
        </is>
      </c>
      <c r="E39" t="inlineStr">
        <is>
          <t>Strai Sykehjem — Avd. Demens</t>
        </is>
      </c>
      <c r="F39" s="6" t="inlineStr">
        <is>
          <t>Oktober</t>
        </is>
      </c>
      <c r="G39" s="7" t="n">
        <v>12000000</v>
      </c>
      <c r="H39" s="7" t="n">
        <v>10345251.1824</v>
      </c>
      <c r="I39" s="8">
        <f>G39-H39</f>
        <v/>
      </c>
      <c r="J39" s="6" t="n">
        <v>2</v>
      </c>
      <c r="K39" s="7">
        <f>I39/MAX(1, J39)</f>
        <v/>
      </c>
      <c r="L39" t="inlineStr">
        <is>
          <t>🔴 Fare for overtrekk (Merforbruk)</t>
        </is>
      </c>
      <c r="M39" s="6" t="inlineStr">
        <is>
          <t>RED</t>
        </is>
      </c>
    </row>
    <row r="40">
      <c r="A40" s="9" t="inlineStr">
        <is>
          <t>5202-SEK-KORTTID</t>
        </is>
      </c>
      <c r="B40" s="10" t="inlineStr">
        <is>
          <t>Lars Klev</t>
        </is>
      </c>
      <c r="C40" s="10" t="inlineStr">
        <is>
          <t>Avdelingsleder Somatikk &amp; Korttid</t>
        </is>
      </c>
      <c r="D40" s="10" t="inlineStr">
        <is>
          <t>HELSE</t>
        </is>
      </c>
      <c r="E40" s="10" t="inlineStr">
        <is>
          <t>Strai Sykehjem — Somatisk Korttidsavd.</t>
        </is>
      </c>
      <c r="F40" s="9" t="inlineStr">
        <is>
          <t>Oktober</t>
        </is>
      </c>
      <c r="G40" s="11" t="n">
        <v>12000000</v>
      </c>
      <c r="H40" s="11" t="n">
        <v>10345251.1824</v>
      </c>
      <c r="I40" s="12">
        <f>G40-H40</f>
        <v/>
      </c>
      <c r="J40" s="9" t="n">
        <v>2</v>
      </c>
      <c r="K40" s="11">
        <f>I40/MAX(1, J40)</f>
        <v/>
      </c>
      <c r="L40" s="10" t="inlineStr">
        <is>
          <t>🔴 Fare for overtrekk (Merforbruk)</t>
        </is>
      </c>
      <c r="M40" s="9" t="inlineStr">
        <is>
          <t>RED</t>
        </is>
      </c>
    </row>
    <row r="41">
      <c r="A41" s="6" t="inlineStr">
        <is>
          <t>4103-SEK-SFO</t>
        </is>
      </c>
      <c r="B41" t="inlineStr">
        <is>
          <t>Cathrine Solberg</t>
        </is>
      </c>
      <c r="C41" t="inlineStr">
        <is>
          <t>Avdelingsleder SFO Lovisenlev</t>
        </is>
      </c>
      <c r="D41" t="inlineStr">
        <is>
          <t>OPPVEKST</t>
        </is>
      </c>
      <c r="E41" t="inlineStr">
        <is>
          <t>Lovisenlev Skole — Skolefritidsordning</t>
        </is>
      </c>
      <c r="F41" s="6" t="inlineStr">
        <is>
          <t>Oktober</t>
        </is>
      </c>
      <c r="G41" s="7" t="n">
        <v>12000000</v>
      </c>
      <c r="H41" s="7" t="n">
        <v>10206177.4872</v>
      </c>
      <c r="I41" s="8">
        <f>G41-H41</f>
        <v/>
      </c>
      <c r="J41" s="6" t="n">
        <v>2</v>
      </c>
      <c r="K41" s="7">
        <f>I41/MAX(1, J41)</f>
        <v/>
      </c>
      <c r="L41" t="inlineStr">
        <is>
          <t>🔴 Fare for overtrekk (Merforbruk)</t>
        </is>
      </c>
      <c r="M41" s="6" t="inlineStr">
        <is>
          <t>RED</t>
        </is>
      </c>
    </row>
    <row r="42">
      <c r="A42" s="9" t="inlineStr">
        <is>
          <t>4104-SEK-INSP</t>
        </is>
      </c>
      <c r="B42" s="10" t="inlineStr">
        <is>
          <t>Bjarne Wiig</t>
        </is>
      </c>
      <c r="C42" s="10" t="inlineStr">
        <is>
          <t>Inspektør 1.–4. trinn</t>
        </is>
      </c>
      <c r="D42" s="10" t="inlineStr">
        <is>
          <t>OPPVEKST</t>
        </is>
      </c>
      <c r="E42" s="10" t="inlineStr">
        <is>
          <t>Lovisenlev Skole — Småtrinnet</t>
        </is>
      </c>
      <c r="F42" s="9" t="inlineStr">
        <is>
          <t>Oktober</t>
        </is>
      </c>
      <c r="G42" s="11" t="n">
        <v>12000000</v>
      </c>
      <c r="H42" s="11" t="n">
        <v>10206177.4872</v>
      </c>
      <c r="I42" s="12">
        <f>G42-H42</f>
        <v/>
      </c>
      <c r="J42" s="9" t="n">
        <v>2</v>
      </c>
      <c r="K42" s="11">
        <f>I42/MAX(1, J42)</f>
        <v/>
      </c>
      <c r="L42" s="10" t="inlineStr">
        <is>
          <t>🔴 Fare for overtrekk (Merforbruk)</t>
        </is>
      </c>
      <c r="M42" s="9" t="inlineStr">
        <is>
          <t>RED</t>
        </is>
      </c>
    </row>
    <row r="43">
      <c r="A43" s="6" t="inlineStr">
        <is>
          <t>1111-SEK-FINOPS</t>
        </is>
      </c>
      <c r="B43" t="inlineStr">
        <is>
          <t>Thomas Berge</t>
        </is>
      </c>
      <c r="C43" t="inlineStr">
        <is>
          <t>Seksjonsleder Skyløsninger &amp; FinOps</t>
        </is>
      </c>
      <c r="D43" t="inlineStr">
        <is>
          <t>ORG_TEK</t>
        </is>
      </c>
      <c r="E43" t="inlineStr">
        <is>
          <t>IKT Drift — Cloud &amp; FinOps</t>
        </is>
      </c>
      <c r="F43" s="6" t="inlineStr">
        <is>
          <t>Oktober</t>
        </is>
      </c>
      <c r="G43" s="7" t="n">
        <v>12000000</v>
      </c>
      <c r="H43" s="7" t="n">
        <v>9466558.290000001</v>
      </c>
      <c r="I43" s="8">
        <f>G43-H43</f>
        <v/>
      </c>
      <c r="J43" s="6" t="n">
        <v>2</v>
      </c>
      <c r="K43" s="7">
        <f>I43/MAX(1, J43)</f>
        <v/>
      </c>
      <c r="L43" t="inlineStr">
        <is>
          <t>🟢 Saldo i balanse (God kontroll)</t>
        </is>
      </c>
      <c r="M43" s="6" t="inlineStr">
        <is>
          <t>GREEN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2026-10-16T14:33:22Z</dcterms:created>
  <dcterms:modified xmlns:dcterms="http://purl.org/dc/terms/" xmlns:xsi="http://www.w3.org/2001/XMLSchema-instance" xsi:type="dcterms:W3CDTF">2026-10-16T14:33:22Z</dcterms:modified>
</cp:coreProperties>
</file>