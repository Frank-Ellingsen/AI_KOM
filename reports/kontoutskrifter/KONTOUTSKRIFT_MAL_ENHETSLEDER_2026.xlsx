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outskrif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kr&quot;"/>
  </numFmts>
  <fonts count="5">
    <font>
      <name val="Calibri"/>
      <family val="2"/>
      <color theme="1"/>
      <sz val="11"/>
      <scheme val="minor"/>
    </font>
    <font>
      <name val="Segoe UI"/>
      <b val="1"/>
      <color rgb="001B365D"/>
      <sz val="14"/>
    </font>
    <font>
      <name val="Segoe UI"/>
      <i val="1"/>
      <color rgb="0064748B"/>
      <sz val="9"/>
    </font>
    <font>
      <name val="Segoe UI"/>
      <b val="1"/>
      <color rgb="00FFFFFF"/>
      <sz val="10"/>
    </font>
    <font>
      <name val="Segoe U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4" fontId="4" fillId="0" borderId="0" pivotButton="0" quotePrefix="0" xfId="0"/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"/>
  <sheetViews>
    <sheetView showGridLines="1" workbookViewId="0">
      <selection activeCell="A1" sqref="A1"/>
    </sheetView>
  </sheetViews>
  <sheetFormatPr baseColWidth="8" defaultRowHeight="15"/>
  <cols>
    <col width="84" customWidth="1" min="1" max="1"/>
    <col width="24" customWidth="1" min="2" max="2"/>
    <col width="41" customWidth="1" min="3" max="3"/>
    <col width="14" customWidth="1" min="4" max="4"/>
    <col width="52" customWidth="1" min="5" max="5"/>
    <col width="11" customWidth="1" min="6" max="6"/>
    <col width="19" customWidth="1" min="7" max="7"/>
    <col width="21" customWidth="1" min="8" max="8"/>
    <col width="19" customWidth="1" min="9" max="9"/>
    <col width="11" customWidth="1" min="10" max="10"/>
    <col width="19" customWidth="1" min="11" max="11"/>
    <col width="36" customWidth="1" min="12" max="12"/>
    <col width="13" customWidth="1" min="13" max="13"/>
  </cols>
  <sheetData>
    <row r="1">
      <c r="A1" s="1" t="inlineStr">
        <is>
          <t>KRISTIANSAND KOMMUNE — MÅNEDLIG KONTOUTSKRIFT FOR BUDSJETTANSVARLIGE</t>
        </is>
      </c>
    </row>
    <row r="2">
      <c r="A2" s="2" t="inlineStr">
        <is>
          <t>Register over alle enheter og disponibel saldo per måned. Akkurat som i nettbank.</t>
        </is>
      </c>
    </row>
    <row r="3"/>
    <row r="4">
      <c r="A4" s="3" t="inlineStr">
        <is>
          <t>Enhetskode</t>
        </is>
      </c>
      <c r="B4" s="4" t="inlineStr">
        <is>
          <t>Budsjettansvarlig</t>
        </is>
      </c>
      <c r="C4" s="4" t="inlineStr">
        <is>
          <t>Tittel</t>
        </is>
      </c>
      <c r="D4" s="4" t="inlineStr">
        <is>
          <t>Sektor</t>
        </is>
      </c>
      <c r="E4" s="4" t="inlineStr">
        <is>
          <t>Enhetsnavn</t>
        </is>
      </c>
      <c r="F4" s="3" t="inlineStr">
        <is>
          <t>Måned</t>
        </is>
      </c>
      <c r="G4" s="5" t="inlineStr">
        <is>
          <t>Tildelt Årsramme</t>
        </is>
      </c>
      <c r="H4" s="5" t="inlineStr">
        <is>
          <t>Brukt YTD</t>
        </is>
      </c>
      <c r="I4" s="5" t="inlineStr">
        <is>
          <t>Disponibel Saldo</t>
        </is>
      </c>
      <c r="J4" s="3" t="inlineStr">
        <is>
          <t>Rest Mnd</t>
        </is>
      </c>
      <c r="K4" s="5" t="inlineStr">
        <is>
          <t>Mnd Rådighet</t>
        </is>
      </c>
      <c r="L4" s="4" t="inlineStr">
        <is>
          <t>Kontostatus</t>
        </is>
      </c>
      <c r="M4" s="3" t="inlineStr">
        <is>
          <t>Trafikklys</t>
        </is>
      </c>
    </row>
    <row r="5">
      <c r="A5" s="6" t="inlineStr">
        <is>
          <t>3000-SJEF-BYUTV</t>
        </is>
      </c>
      <c r="B5" t="inlineStr">
        <is>
          <t>Ragnar Evensen</t>
        </is>
      </c>
      <c r="C5" t="inlineStr">
        <is>
          <t>Kommunalsjef By- og stedsutvikling</t>
        </is>
      </c>
      <c r="D5" t="inlineStr">
        <is>
          <t>BYUTVIKLING</t>
        </is>
      </c>
      <c r="E5" t="inlineStr">
        <is>
          <t>Kommunalsjefens stab By- og stedsutvikling</t>
        </is>
      </c>
      <c r="F5" s="6" t="inlineStr">
        <is>
          <t>Oktober</t>
        </is>
      </c>
      <c r="G5" s="7" t="n">
        <v>620000000</v>
      </c>
      <c r="H5" s="7" t="n">
        <v>495637760.97</v>
      </c>
      <c r="I5" s="8">
        <f>G5-H5</f>
        <v/>
      </c>
      <c r="J5" s="6" t="n">
        <v>2</v>
      </c>
      <c r="K5" s="7">
        <f>I5/MAX(1, J5)</f>
        <v/>
      </c>
      <c r="L5" t="inlineStr">
        <is>
          <t>🟢 Saldo i balanse (God kontroll)</t>
        </is>
      </c>
      <c r="M5" s="6" t="inlineStr">
        <is>
          <t>GREEN</t>
        </is>
      </c>
    </row>
    <row r="6">
      <c r="A6" s="9" t="inlineStr">
        <is>
          <t>5000-SJEF-HELSE</t>
        </is>
      </c>
      <c r="B6" s="10" t="inlineStr">
        <is>
          <t>Brede Skeie</t>
        </is>
      </c>
      <c r="C6" s="10" t="inlineStr">
        <is>
          <t>Kommunalsjef Helse og mestring</t>
        </is>
      </c>
      <c r="D6" s="10" t="inlineStr">
        <is>
          <t>HELSE</t>
        </is>
      </c>
      <c r="E6" s="10" t="inlineStr">
        <is>
          <t>Kommunalsjefens fagstab Helse og mestring</t>
        </is>
      </c>
      <c r="F6" s="9" t="inlineStr">
        <is>
          <t>Oktober</t>
        </is>
      </c>
      <c r="G6" s="11" t="n">
        <v>2680000000</v>
      </c>
      <c r="H6" s="11" t="n">
        <v>2142434192.58</v>
      </c>
      <c r="I6" s="12">
        <f>G6-H6</f>
        <v/>
      </c>
      <c r="J6" s="9" t="n">
        <v>2</v>
      </c>
      <c r="K6" s="11">
        <f>I6/MAX(1, J6)</f>
        <v/>
      </c>
      <c r="L6" s="10" t="inlineStr">
        <is>
          <t>🟢 Saldo i balanse (God kontroll)</t>
        </is>
      </c>
      <c r="M6" s="9" t="inlineStr">
        <is>
          <t>GREEN</t>
        </is>
      </c>
    </row>
    <row r="7">
      <c r="A7" s="6" t="inlineStr">
        <is>
          <t>2000-SJEF-KULTUR</t>
        </is>
      </c>
      <c r="B7" t="inlineStr">
        <is>
          <t>Camilla Jarlsby</t>
        </is>
      </c>
      <c r="C7" t="inlineStr">
        <is>
          <t>Kommunalsjef Kultur og innbyggerdialog</t>
        </is>
      </c>
      <c r="D7" t="inlineStr">
        <is>
          <t>KULTUR</t>
        </is>
      </c>
      <c r="E7" t="inlineStr">
        <is>
          <t>Kommunalsjefens stab Kultur og innbyggerdialog</t>
        </is>
      </c>
      <c r="F7" s="6" t="inlineStr">
        <is>
          <t>Oktober</t>
        </is>
      </c>
      <c r="G7" s="7" t="n">
        <v>290000000</v>
      </c>
      <c r="H7" s="7" t="n">
        <v>231830565.615</v>
      </c>
      <c r="I7" s="8">
        <f>G7-H7</f>
        <v/>
      </c>
      <c r="J7" s="6" t="n">
        <v>2</v>
      </c>
      <c r="K7" s="7">
        <f>I7/MAX(1, J7)</f>
        <v/>
      </c>
      <c r="L7" t="inlineStr">
        <is>
          <t>🟢 Saldo i balanse (God kontroll)</t>
        </is>
      </c>
      <c r="M7" s="6" t="inlineStr">
        <is>
          <t>GREEN</t>
        </is>
      </c>
    </row>
    <row r="8">
      <c r="A8" s="9" t="inlineStr">
        <is>
          <t>6000-DIR-OKONOMI</t>
        </is>
      </c>
      <c r="B8" s="10" t="inlineStr">
        <is>
          <t>Terje Fjellvang</t>
        </is>
      </c>
      <c r="C8" s="10" t="inlineStr">
        <is>
          <t>Økonomidirektør</t>
        </is>
      </c>
      <c r="D8" s="10" t="inlineStr">
        <is>
          <t>OKONOMI</t>
        </is>
      </c>
      <c r="E8" s="10" t="inlineStr">
        <is>
          <t>Sentral Økonomistab &amp; Finansforvaltning</t>
        </is>
      </c>
      <c r="F8" s="9" t="inlineStr">
        <is>
          <t>Oktober</t>
        </is>
      </c>
      <c r="G8" s="11" t="n">
        <v>1160000000</v>
      </c>
      <c r="H8" s="11" t="n">
        <v>927322262.46</v>
      </c>
      <c r="I8" s="12">
        <f>G8-H8</f>
        <v/>
      </c>
      <c r="J8" s="9" t="n">
        <v>2</v>
      </c>
      <c r="K8" s="11">
        <f>I8/MAX(1, J8)</f>
        <v/>
      </c>
      <c r="L8" s="10" t="inlineStr">
        <is>
          <t>🟢 Saldo i balanse (God kontroll)</t>
        </is>
      </c>
      <c r="M8" s="9" t="inlineStr">
        <is>
          <t>GREEN</t>
        </is>
      </c>
    </row>
    <row r="9">
      <c r="A9" s="6" t="inlineStr">
        <is>
          <t>4000-SJEF-OPPV</t>
        </is>
      </c>
      <c r="B9" t="inlineStr">
        <is>
          <t>Kristin Eidet Robstad</t>
        </is>
      </c>
      <c r="C9" t="inlineStr">
        <is>
          <t>Kommunalsjef Oppvekst og utdanning</t>
        </is>
      </c>
      <c r="D9" t="inlineStr">
        <is>
          <t>OPPVEKST</t>
        </is>
      </c>
      <c r="E9" t="inlineStr">
        <is>
          <t>Kommunalsjefens fagstab Oppvekst og utdanning</t>
        </is>
      </c>
      <c r="F9" s="6" t="inlineStr">
        <is>
          <t>Oktober</t>
        </is>
      </c>
      <c r="G9" s="7" t="n">
        <v>2150000000</v>
      </c>
      <c r="H9" s="7" t="n">
        <v>1718743848.525</v>
      </c>
      <c r="I9" s="8">
        <f>G9-H9</f>
        <v/>
      </c>
      <c r="J9" s="6" t="n">
        <v>2</v>
      </c>
      <c r="K9" s="7">
        <f>I9/MAX(1, J9)</f>
        <v/>
      </c>
      <c r="L9" t="inlineStr">
        <is>
          <t>🟢 Saldo i balanse (God kontroll)</t>
        </is>
      </c>
      <c r="M9" s="6" t="inlineStr">
        <is>
          <t>GREEN</t>
        </is>
      </c>
    </row>
    <row r="10">
      <c r="A10" s="9" t="inlineStr">
        <is>
          <t>1000-SJEF-ORGTEK</t>
        </is>
      </c>
      <c r="B10" s="10" t="inlineStr">
        <is>
          <t>Geir A. Askvik</t>
        </is>
      </c>
      <c r="C10" s="10" t="inlineStr">
        <is>
          <t>Kommunalsjef Organisasjon og teknologi</t>
        </is>
      </c>
      <c r="D10" s="10" t="inlineStr">
        <is>
          <t>ORG_TEK</t>
        </is>
      </c>
      <c r="E10" s="10" t="inlineStr">
        <is>
          <t>Kommunalsjefens stab Organisasjon og teknologi</t>
        </is>
      </c>
      <c r="F10" s="9" t="inlineStr">
        <is>
          <t>Oktober</t>
        </is>
      </c>
      <c r="G10" s="11" t="n">
        <v>340000000</v>
      </c>
      <c r="H10" s="11" t="n">
        <v>271801352.79</v>
      </c>
      <c r="I10" s="12">
        <f>G10-H10</f>
        <v/>
      </c>
      <c r="J10" s="9" t="n">
        <v>2</v>
      </c>
      <c r="K10" s="11">
        <f>I10/MAX(1, J10)</f>
        <v/>
      </c>
      <c r="L10" s="10" t="inlineStr">
        <is>
          <t>🟢 Saldo i balanse (God kontroll)</t>
        </is>
      </c>
      <c r="M10" s="9" t="inlineStr">
        <is>
          <t>GREEN</t>
        </is>
      </c>
    </row>
    <row r="11">
      <c r="A11" s="6" t="inlineStr">
        <is>
          <t>3100-DIR-VAR</t>
        </is>
      </c>
      <c r="B11" t="inlineStr">
        <is>
          <t>Helge Møller</t>
        </is>
      </c>
      <c r="C11" t="inlineStr">
        <is>
          <t>VA-sjef &amp; Kommunalteknisk Direktør</t>
        </is>
      </c>
      <c r="D11" t="inlineStr">
        <is>
          <t>BYUTVIKLING</t>
        </is>
      </c>
      <c r="E11" t="inlineStr">
        <is>
          <t>Ingeniørvesenet (Vann, Avløp &amp; Renovasjon)</t>
        </is>
      </c>
      <c r="F11" s="6" t="inlineStr">
        <is>
          <t>Oktober</t>
        </is>
      </c>
      <c r="G11" s="7" t="n">
        <v>95000000</v>
      </c>
      <c r="H11" s="7" t="n">
        <v>75944495.63250001</v>
      </c>
      <c r="I11" s="8">
        <f>G11-H11</f>
        <v/>
      </c>
      <c r="J11" s="6" t="n">
        <v>2</v>
      </c>
      <c r="K11" s="7">
        <f>I11/MAX(1, J11)</f>
        <v/>
      </c>
      <c r="L11" t="inlineStr">
        <is>
          <t>🟢 Saldo i balanse (God kontroll)</t>
        </is>
      </c>
      <c r="M11" s="6" t="inlineStr">
        <is>
          <t>GREEN</t>
        </is>
      </c>
    </row>
    <row r="12">
      <c r="A12" s="9" t="inlineStr">
        <is>
          <t>3200-DIR-PLAN</t>
        </is>
      </c>
      <c r="B12" s="10" t="inlineStr">
        <is>
          <t>Einar Jørgensen</t>
        </is>
      </c>
      <c r="C12" s="10" t="inlineStr">
        <is>
          <t>Områdeleder Byplan &amp; Byggesak</t>
        </is>
      </c>
      <c r="D12" s="10" t="inlineStr">
        <is>
          <t>BYUTVIKLING</t>
        </is>
      </c>
      <c r="E12" s="10" t="inlineStr">
        <is>
          <t>Plan- og bygningsetaten</t>
        </is>
      </c>
      <c r="F12" s="9" t="inlineStr">
        <is>
          <t>Oktober</t>
        </is>
      </c>
      <c r="G12" s="11" t="n">
        <v>95000000</v>
      </c>
      <c r="H12" s="11" t="n">
        <v>75944495.63250001</v>
      </c>
      <c r="I12" s="12">
        <f>G12-H12</f>
        <v/>
      </c>
      <c r="J12" s="9" t="n">
        <v>2</v>
      </c>
      <c r="K12" s="11">
        <f>I12/MAX(1, J12)</f>
        <v/>
      </c>
      <c r="L12" s="10" t="inlineStr">
        <is>
          <t>🟢 Saldo i balanse (God kontroll)</t>
        </is>
      </c>
      <c r="M12" s="9" t="inlineStr">
        <is>
          <t>GREEN</t>
        </is>
      </c>
    </row>
    <row r="13">
      <c r="A13" s="6" t="inlineStr">
        <is>
          <t>5100-OMR-SYKEHJEM</t>
        </is>
      </c>
      <c r="B13" t="inlineStr">
        <is>
          <t>Mette Syvertsen</t>
        </is>
      </c>
      <c r="C13" t="inlineStr">
        <is>
          <t>Områdeleder Institusjon &amp; Døgnpleie</t>
        </is>
      </c>
      <c r="D13" t="inlineStr">
        <is>
          <t>HELSE</t>
        </is>
      </c>
      <c r="E13" t="inlineStr">
        <is>
          <t>Døgnomsorg og Sykehjem</t>
        </is>
      </c>
      <c r="F13" s="6" t="inlineStr">
        <is>
          <t>Oktober</t>
        </is>
      </c>
      <c r="G13" s="7" t="n">
        <v>95000000</v>
      </c>
      <c r="H13" s="7" t="n">
        <v>81899905.19400001</v>
      </c>
      <c r="I13" s="8">
        <f>G13-H13</f>
        <v/>
      </c>
      <c r="J13" s="6" t="n">
        <v>2</v>
      </c>
      <c r="K13" s="7">
        <f>I13/MAX(1, J13)</f>
        <v/>
      </c>
      <c r="L13" t="inlineStr">
        <is>
          <t>🔴 Fare for overtrekk (Merforbruk)</t>
        </is>
      </c>
      <c r="M13" s="6" t="inlineStr">
        <is>
          <t>RED</t>
        </is>
      </c>
    </row>
    <row r="14">
      <c r="A14" s="9" t="inlineStr">
        <is>
          <t>5200-OMR-HJEMME</t>
        </is>
      </c>
      <c r="B14" s="10" t="inlineStr">
        <is>
          <t>Arve Sætre</t>
        </is>
      </c>
      <c r="C14" s="10" t="inlineStr">
        <is>
          <t>Områdeleder Hjemmetjenester</t>
        </is>
      </c>
      <c r="D14" s="10" t="inlineStr">
        <is>
          <t>HELSE</t>
        </is>
      </c>
      <c r="E14" s="10" t="inlineStr">
        <is>
          <t>Hjemmetjenester og rehabilitering</t>
        </is>
      </c>
      <c r="F14" s="9" t="inlineStr">
        <is>
          <t>Oktober</t>
        </is>
      </c>
      <c r="G14" s="11" t="n">
        <v>95000000</v>
      </c>
      <c r="H14" s="11" t="n">
        <v>75944495.63250001</v>
      </c>
      <c r="I14" s="12">
        <f>G14-H14</f>
        <v/>
      </c>
      <c r="J14" s="9" t="n">
        <v>2</v>
      </c>
      <c r="K14" s="11">
        <f>I14/MAX(1, J14)</f>
        <v/>
      </c>
      <c r="L14" s="10" t="inlineStr">
        <is>
          <t>🟢 Saldo i balanse (God kontroll)</t>
        </is>
      </c>
      <c r="M14" s="9" t="inlineStr">
        <is>
          <t>GREEN</t>
        </is>
      </c>
    </row>
    <row r="15">
      <c r="A15" s="6" t="inlineStr">
        <is>
          <t>2100-OMR-KULTUR</t>
        </is>
      </c>
      <c r="B15" t="inlineStr">
        <is>
          <t>Knut Ragnar Nilsen</t>
        </is>
      </c>
      <c r="C15" t="inlineStr">
        <is>
          <t>Områdeleder Kultur &amp; Scene</t>
        </is>
      </c>
      <c r="D15" t="inlineStr">
        <is>
          <t>KULTUR</t>
        </is>
      </c>
      <c r="E15" t="inlineStr">
        <is>
          <t>Kulturinstitusjoner &amp; Scene</t>
        </is>
      </c>
      <c r="F15" s="6" t="inlineStr">
        <is>
          <t>Oktober</t>
        </is>
      </c>
      <c r="G15" s="7" t="n">
        <v>95000000</v>
      </c>
      <c r="H15" s="7" t="n">
        <v>75944495.63250001</v>
      </c>
      <c r="I15" s="8">
        <f>G15-H15</f>
        <v/>
      </c>
      <c r="J15" s="6" t="n">
        <v>2</v>
      </c>
      <c r="K15" s="7">
        <f>I15/MAX(1, J15)</f>
        <v/>
      </c>
      <c r="L15" t="inlineStr">
        <is>
          <t>🟢 Saldo i balanse (God kontroll)</t>
        </is>
      </c>
      <c r="M15" s="6" t="inlineStr">
        <is>
          <t>GREEN</t>
        </is>
      </c>
    </row>
    <row r="16">
      <c r="A16" s="9" t="inlineStr">
        <is>
          <t>6100-DIR-REGNSKAP</t>
        </is>
      </c>
      <c r="B16" s="10" t="inlineStr">
        <is>
          <t>Bente Gundersen</t>
        </is>
      </c>
      <c r="C16" s="10" t="inlineStr">
        <is>
          <t>Konsernregnskapssjef</t>
        </is>
      </c>
      <c r="D16" s="10" t="inlineStr">
        <is>
          <t>OKONOMI</t>
        </is>
      </c>
      <c r="E16" s="10" t="inlineStr">
        <is>
          <t>Konsernregnskap &amp; Finansforvaltning</t>
        </is>
      </c>
      <c r="F16" s="9" t="inlineStr">
        <is>
          <t>Oktober</t>
        </is>
      </c>
      <c r="G16" s="11" t="n">
        <v>95000000</v>
      </c>
      <c r="H16" s="11" t="n">
        <v>75944495.63250001</v>
      </c>
      <c r="I16" s="12">
        <f>G16-H16</f>
        <v/>
      </c>
      <c r="J16" s="9" t="n">
        <v>2</v>
      </c>
      <c r="K16" s="11">
        <f>I16/MAX(1, J16)</f>
        <v/>
      </c>
      <c r="L16" s="10" t="inlineStr">
        <is>
          <t>🟢 Saldo i balanse (God kontroll)</t>
        </is>
      </c>
      <c r="M16" s="9" t="inlineStr">
        <is>
          <t>GREEN</t>
        </is>
      </c>
    </row>
    <row r="17">
      <c r="A17" s="6" t="inlineStr">
        <is>
          <t>4100-OMR-SKOLE</t>
        </is>
      </c>
      <c r="B17" t="inlineStr">
        <is>
          <t>Svein Tore Kvernes</t>
        </is>
      </c>
      <c r="C17" t="inlineStr">
        <is>
          <t>Skolesjef Grunnskole</t>
        </is>
      </c>
      <c r="D17" t="inlineStr">
        <is>
          <t>OPPVEKST</t>
        </is>
      </c>
      <c r="E17" t="inlineStr">
        <is>
          <t>Grunnskoleavdelingen (28 skoler)</t>
        </is>
      </c>
      <c r="F17" s="6" t="inlineStr">
        <is>
          <t>Oktober</t>
        </is>
      </c>
      <c r="G17" s="7" t="n">
        <v>95000000</v>
      </c>
      <c r="H17" s="7" t="n">
        <v>75944495.63250001</v>
      </c>
      <c r="I17" s="8">
        <f>G17-H17</f>
        <v/>
      </c>
      <c r="J17" s="6" t="n">
        <v>2</v>
      </c>
      <c r="K17" s="7">
        <f>I17/MAX(1, J17)</f>
        <v/>
      </c>
      <c r="L17" t="inlineStr">
        <is>
          <t>🟢 Saldo i balanse (God kontroll)</t>
        </is>
      </c>
      <c r="M17" s="6" t="inlineStr">
        <is>
          <t>GREEN</t>
        </is>
      </c>
    </row>
    <row r="18">
      <c r="A18" s="9" t="inlineStr">
        <is>
          <t>4200-OMR-BHG</t>
        </is>
      </c>
      <c r="B18" s="10" t="inlineStr">
        <is>
          <t>Anne Lise Tønnessen</t>
        </is>
      </c>
      <c r="C18" s="10" t="inlineStr">
        <is>
          <t>Barnehagesjef</t>
        </is>
      </c>
      <c r="D18" s="10" t="inlineStr">
        <is>
          <t>OPPVEKST</t>
        </is>
      </c>
      <c r="E18" s="10" t="inlineStr">
        <is>
          <t>Barnehageavdelingen (54 barnehager)</t>
        </is>
      </c>
      <c r="F18" s="9" t="inlineStr">
        <is>
          <t>Oktober</t>
        </is>
      </c>
      <c r="G18" s="11" t="n">
        <v>95000000</v>
      </c>
      <c r="H18" s="11" t="n">
        <v>75944495.63250001</v>
      </c>
      <c r="I18" s="12">
        <f>G18-H18</f>
        <v/>
      </c>
      <c r="J18" s="9" t="n">
        <v>2</v>
      </c>
      <c r="K18" s="11">
        <f>I18/MAX(1, J18)</f>
        <v/>
      </c>
      <c r="L18" s="10" t="inlineStr">
        <is>
          <t>🟢 Saldo i balanse (God kontroll)</t>
        </is>
      </c>
      <c r="M18" s="9" t="inlineStr">
        <is>
          <t>GREEN</t>
        </is>
      </c>
    </row>
    <row r="19">
      <c r="A19" s="6" t="inlineStr">
        <is>
          <t>1100-DIR-IKT</t>
        </is>
      </c>
      <c r="B19" t="inlineStr">
        <is>
          <t>Siri Bentsen</t>
        </is>
      </c>
      <c r="C19" t="inlineStr">
        <is>
          <t>IKT- og Digitaliseringsdirektør</t>
        </is>
      </c>
      <c r="D19" t="inlineStr">
        <is>
          <t>ORG_TEK</t>
        </is>
      </c>
      <c r="E19" t="inlineStr">
        <is>
          <t>IKT- og Digitaliseringsavdelingen</t>
        </is>
      </c>
      <c r="F19" s="6" t="inlineStr">
        <is>
          <t>Oktober</t>
        </is>
      </c>
      <c r="G19" s="7" t="n">
        <v>45200000</v>
      </c>
      <c r="H19" s="7" t="n">
        <v>36133591.60620001</v>
      </c>
      <c r="I19" s="8">
        <f>G19-H19</f>
        <v/>
      </c>
      <c r="J19" s="6" t="n">
        <v>2</v>
      </c>
      <c r="K19" s="7">
        <f>I19/MAX(1, J19)</f>
        <v/>
      </c>
      <c r="L19" t="inlineStr">
        <is>
          <t>🟢 Saldo i balanse (God kontroll)</t>
        </is>
      </c>
      <c r="M19" s="6" t="inlineStr">
        <is>
          <t>GREEN</t>
        </is>
      </c>
    </row>
    <row r="20">
      <c r="A20" s="9" t="inlineStr">
        <is>
          <t>3100-ENH-302</t>
        </is>
      </c>
      <c r="B20" s="10" t="inlineStr">
        <is>
          <t>Inger Johanne Foss</t>
        </is>
      </c>
      <c r="C20" s="10" t="inlineStr">
        <is>
          <t>Enhetsleder VAR Ingeniørvesen</t>
        </is>
      </c>
      <c r="D20" s="10" t="inlineStr">
        <is>
          <t>BYUTVIKLING</t>
        </is>
      </c>
      <c r="E20" s="10" t="inlineStr">
        <is>
          <t>VAR Ingeniørvesen</t>
        </is>
      </c>
      <c r="F20" s="9" t="inlineStr">
        <is>
          <t>Oktober</t>
        </is>
      </c>
      <c r="G20" s="11" t="n">
        <v>68400000</v>
      </c>
      <c r="H20" s="11" t="n">
        <v>53490956.76143999</v>
      </c>
      <c r="I20" s="12">
        <f>G20-H20</f>
        <v/>
      </c>
      <c r="J20" s="9" t="n">
        <v>2</v>
      </c>
      <c r="K20" s="11">
        <f>I20/MAX(1, J20)</f>
        <v/>
      </c>
      <c r="L20" s="10" t="inlineStr">
        <is>
          <t>🟢 Saldo i balanse (God kontroll)</t>
        </is>
      </c>
      <c r="M20" s="9" t="inlineStr">
        <is>
          <t>GREEN</t>
        </is>
      </c>
    </row>
    <row r="21">
      <c r="A21" s="6" t="inlineStr">
        <is>
          <t>3210-ENH-303</t>
        </is>
      </c>
      <c r="B21" t="inlineStr">
        <is>
          <t>Tor-Inge Hjemdal</t>
        </is>
      </c>
      <c r="C21" t="inlineStr">
        <is>
          <t>Enhetsleder Byplan</t>
        </is>
      </c>
      <c r="D21" t="inlineStr">
        <is>
          <t>BYUTVIKLING</t>
        </is>
      </c>
      <c r="E21" t="inlineStr">
        <is>
          <t>Byplan og Samfunnsutvikling</t>
        </is>
      </c>
      <c r="F21" s="6" t="inlineStr">
        <is>
          <t>Oktober</t>
        </is>
      </c>
      <c r="G21" s="7" t="n">
        <v>22500000</v>
      </c>
      <c r="H21" s="7" t="n">
        <v>17749796.79375</v>
      </c>
      <c r="I21" s="8">
        <f>G21-H21</f>
        <v/>
      </c>
      <c r="J21" s="6" t="n">
        <v>2</v>
      </c>
      <c r="K21" s="7">
        <f>I21/MAX(1, J21)</f>
        <v/>
      </c>
      <c r="L21" t="inlineStr">
        <is>
          <t>🟢 Saldo i balanse (God kontroll)</t>
        </is>
      </c>
      <c r="M21" s="6" t="inlineStr">
        <is>
          <t>GREEN</t>
        </is>
      </c>
    </row>
    <row r="22">
      <c r="A22" s="9" t="inlineStr">
        <is>
          <t>3220-ENH-304</t>
        </is>
      </c>
      <c r="B22" s="10" t="inlineStr">
        <is>
          <t>Stian Arnesen</t>
        </is>
      </c>
      <c r="C22" s="10" t="inlineStr">
        <is>
          <t>Enhetsleder Geodata</t>
        </is>
      </c>
      <c r="D22" s="10" t="inlineStr">
        <is>
          <t>BYUTVIKLING</t>
        </is>
      </c>
      <c r="E22" s="10" t="inlineStr">
        <is>
          <t>Geodata og Oppmåling</t>
        </is>
      </c>
      <c r="F22" s="9" t="inlineStr">
        <is>
          <t>Oktober</t>
        </is>
      </c>
      <c r="G22" s="11" t="n">
        <v>22500000</v>
      </c>
      <c r="H22" s="11" t="n">
        <v>17749796.79375</v>
      </c>
      <c r="I22" s="12">
        <f>G22-H22</f>
        <v/>
      </c>
      <c r="J22" s="9" t="n">
        <v>2</v>
      </c>
      <c r="K22" s="11">
        <f>I22/MAX(1, J22)</f>
        <v/>
      </c>
      <c r="L22" s="10" t="inlineStr">
        <is>
          <t>🟢 Saldo i balanse (God kontroll)</t>
        </is>
      </c>
      <c r="M22" s="9" t="inlineStr">
        <is>
          <t>GREEN</t>
        </is>
      </c>
    </row>
    <row r="23">
      <c r="A23" s="6" t="inlineStr">
        <is>
          <t>3300-ENH-301</t>
        </is>
      </c>
      <c r="B23" t="inlineStr">
        <is>
          <t>Hans Petter Vik</t>
        </is>
      </c>
      <c r="C23" t="inlineStr">
        <is>
          <t>Enhetsleder Byggesak &amp; Tilsyn</t>
        </is>
      </c>
      <c r="D23" t="inlineStr">
        <is>
          <t>BYUTVIKLING</t>
        </is>
      </c>
      <c r="E23" t="inlineStr">
        <is>
          <t>Byggesak og Tilsyn</t>
        </is>
      </c>
      <c r="F23" s="6" t="inlineStr">
        <is>
          <t>Oktober</t>
        </is>
      </c>
      <c r="G23" s="7" t="n">
        <v>24150000</v>
      </c>
      <c r="H23" s="7" t="n">
        <v>18542565.264825</v>
      </c>
      <c r="I23" s="8">
        <f>G23-H23</f>
        <v/>
      </c>
      <c r="J23" s="6" t="n">
        <v>2</v>
      </c>
      <c r="K23" s="7">
        <f>I23/MAX(1, J23)</f>
        <v/>
      </c>
      <c r="L23" t="inlineStr">
        <is>
          <t>🟢 Saldo i balanse (God kontroll)</t>
        </is>
      </c>
      <c r="M23" s="6" t="inlineStr">
        <is>
          <t>GREEN</t>
        </is>
      </c>
    </row>
    <row r="24">
      <c r="A24" s="9" t="inlineStr">
        <is>
          <t>3400-ENH-310</t>
        </is>
      </c>
      <c r="B24" s="10" t="inlineStr">
        <is>
          <t>Kari Anne Krog</t>
        </is>
      </c>
      <c r="C24" s="10" t="inlineStr">
        <is>
          <t>Enhetsleder Eiendom</t>
        </is>
      </c>
      <c r="D24" s="10" t="inlineStr">
        <is>
          <t>BYUTVIKLING</t>
        </is>
      </c>
      <c r="E24" s="10" t="inlineStr">
        <is>
          <t>Eiendomsforvaltning &amp; Drift</t>
        </is>
      </c>
      <c r="F24" s="9" t="inlineStr">
        <is>
          <t>Oktober</t>
        </is>
      </c>
      <c r="G24" s="11" t="n">
        <v>22500000</v>
      </c>
      <c r="H24" s="11" t="n">
        <v>17749796.79375</v>
      </c>
      <c r="I24" s="12">
        <f>G24-H24</f>
        <v/>
      </c>
      <c r="J24" s="9" t="n">
        <v>2</v>
      </c>
      <c r="K24" s="11">
        <f>I24/MAX(1, J24)</f>
        <v/>
      </c>
      <c r="L24" s="10" t="inlineStr">
        <is>
          <t>🟢 Saldo i balanse (God kontroll)</t>
        </is>
      </c>
      <c r="M24" s="9" t="inlineStr">
        <is>
          <t>GREEN</t>
        </is>
      </c>
    </row>
    <row r="25">
      <c r="A25" s="6" t="inlineStr">
        <is>
          <t>3410-ENH-311</t>
        </is>
      </c>
      <c r="B25" t="inlineStr">
        <is>
          <t>Rune Fladmark</t>
        </is>
      </c>
      <c r="C25" t="inlineStr">
        <is>
          <t>Enhetsleder Samferdsel</t>
        </is>
      </c>
      <c r="D25" t="inlineStr">
        <is>
          <t>BYUTVIKLING</t>
        </is>
      </c>
      <c r="E25" t="inlineStr">
        <is>
          <t>Samferdsel, Vei og Park</t>
        </is>
      </c>
      <c r="F25" s="6" t="inlineStr">
        <is>
          <t>Oktober</t>
        </is>
      </c>
      <c r="G25" s="7" t="n">
        <v>22500000</v>
      </c>
      <c r="H25" s="7" t="n">
        <v>17749796.79375</v>
      </c>
      <c r="I25" s="8">
        <f>G25-H25</f>
        <v/>
      </c>
      <c r="J25" s="6" t="n">
        <v>2</v>
      </c>
      <c r="K25" s="7">
        <f>I25/MAX(1, J25)</f>
        <v/>
      </c>
      <c r="L25" t="inlineStr">
        <is>
          <t>🟢 Saldo i balanse (God kontroll)</t>
        </is>
      </c>
      <c r="M25" s="6" t="inlineStr">
        <is>
          <t>GREEN</t>
        </is>
      </c>
    </row>
    <row r="26">
      <c r="A26" s="9" t="inlineStr">
        <is>
          <t>3420-ENH-312</t>
        </is>
      </c>
      <c r="B26" s="10" t="inlineStr">
        <is>
          <t>Thomas Gran</t>
        </is>
      </c>
      <c r="C26" s="10" t="inlineStr">
        <is>
          <t>Havnesjef</t>
        </is>
      </c>
      <c r="D26" s="10" t="inlineStr">
        <is>
          <t>BYUTVIKLING</t>
        </is>
      </c>
      <c r="E26" s="10" t="inlineStr">
        <is>
          <t>Havn og Maritim Infrastruktur</t>
        </is>
      </c>
      <c r="F26" s="9" t="inlineStr">
        <is>
          <t>Oktober</t>
        </is>
      </c>
      <c r="G26" s="11" t="n">
        <v>22500000</v>
      </c>
      <c r="H26" s="11" t="n">
        <v>17749796.79375</v>
      </c>
      <c r="I26" s="12">
        <f>G26-H26</f>
        <v/>
      </c>
      <c r="J26" s="9" t="n">
        <v>2</v>
      </c>
      <c r="K26" s="11">
        <f>I26/MAX(1, J26)</f>
        <v/>
      </c>
      <c r="L26" s="10" t="inlineStr">
        <is>
          <t>🟢 Saldo i balanse (God kontroll)</t>
        </is>
      </c>
      <c r="M26" s="9" t="inlineStr">
        <is>
          <t>GREEN</t>
        </is>
      </c>
    </row>
    <row r="27">
      <c r="A27" s="6" t="inlineStr">
        <is>
          <t>3430-ENH-313</t>
        </is>
      </c>
      <c r="B27" t="inlineStr">
        <is>
          <t>Ingrid Solheim</t>
        </is>
      </c>
      <c r="C27" t="inlineStr">
        <is>
          <t>Daglig leder Boligstiftelsen</t>
        </is>
      </c>
      <c r="D27" t="inlineStr">
        <is>
          <t>BYUTVIKLING</t>
        </is>
      </c>
      <c r="E27" t="inlineStr">
        <is>
          <t>Boligstiftelsen &amp; Sosiale Boliger</t>
        </is>
      </c>
      <c r="F27" s="6" t="inlineStr">
        <is>
          <t>Oktober</t>
        </is>
      </c>
      <c r="G27" s="7" t="n">
        <v>22500000</v>
      </c>
      <c r="H27" s="7" t="n">
        <v>17749796.79375</v>
      </c>
      <c r="I27" s="8">
        <f>G27-H27</f>
        <v/>
      </c>
      <c r="J27" s="6" t="n">
        <v>2</v>
      </c>
      <c r="K27" s="7">
        <f>I27/MAX(1, J27)</f>
        <v/>
      </c>
      <c r="L27" t="inlineStr">
        <is>
          <t>🟢 Saldo i balanse (God kontroll)</t>
        </is>
      </c>
      <c r="M27" s="6" t="inlineStr">
        <is>
          <t>GREEN</t>
        </is>
      </c>
    </row>
    <row r="28">
      <c r="A28" s="9" t="inlineStr">
        <is>
          <t>3500-ENH-320</t>
        </is>
      </c>
      <c r="B28" s="10" t="inlineStr">
        <is>
          <t>Elisabeth Engemyr</t>
        </is>
      </c>
      <c r="C28" s="10" t="inlineStr">
        <is>
          <t>Miljøvernsjef</t>
        </is>
      </c>
      <c r="D28" s="10" t="inlineStr">
        <is>
          <t>BYUTVIKLING</t>
        </is>
      </c>
      <c r="E28" s="10" t="inlineStr">
        <is>
          <t>Klima og Miljøforvaltning</t>
        </is>
      </c>
      <c r="F28" s="9" t="inlineStr">
        <is>
          <t>Oktober</t>
        </is>
      </c>
      <c r="G28" s="11" t="n">
        <v>22500000</v>
      </c>
      <c r="H28" s="11" t="n">
        <v>17749796.79375</v>
      </c>
      <c r="I28" s="12">
        <f>G28-H28</f>
        <v/>
      </c>
      <c r="J28" s="9" t="n">
        <v>2</v>
      </c>
      <c r="K28" s="11">
        <f>I28/MAX(1, J28)</f>
        <v/>
      </c>
      <c r="L28" s="10" t="inlineStr">
        <is>
          <t>🟢 Saldo i balanse (God kontroll)</t>
        </is>
      </c>
      <c r="M28" s="9" t="inlineStr">
        <is>
          <t>GREEN</t>
        </is>
      </c>
    </row>
    <row r="29">
      <c r="A29" s="6" t="inlineStr">
        <is>
          <t>5200-ENH-401</t>
        </is>
      </c>
      <c r="B29" t="inlineStr">
        <is>
          <t>Solveig Grimstad</t>
        </is>
      </c>
      <c r="C29" t="inlineStr">
        <is>
          <t>Enhetsleder Strai Sykehjem</t>
        </is>
      </c>
      <c r="D29" t="inlineStr">
        <is>
          <t>HELSE</t>
        </is>
      </c>
      <c r="E29" t="inlineStr">
        <is>
          <t>Strai Sykehjem &amp; Omsorgsboliger</t>
        </is>
      </c>
      <c r="F29" s="6" t="inlineStr">
        <is>
          <t>Oktober</t>
        </is>
      </c>
      <c r="G29" s="7" t="n">
        <v>50339000</v>
      </c>
      <c r="H29" s="7" t="n">
        <v>43397466.60590279</v>
      </c>
      <c r="I29" s="8">
        <f>G29-H29</f>
        <v/>
      </c>
      <c r="J29" s="6" t="n">
        <v>2</v>
      </c>
      <c r="K29" s="7">
        <f>I29/MAX(1, J29)</f>
        <v/>
      </c>
      <c r="L29" t="inlineStr">
        <is>
          <t>🔴 Fare for overtrekk (Merforbruk)</t>
        </is>
      </c>
      <c r="M29" s="6" t="inlineStr">
        <is>
          <t>RED</t>
        </is>
      </c>
    </row>
    <row r="30">
      <c r="A30" s="9" t="inlineStr">
        <is>
          <t>5210-ENH-402</t>
        </is>
      </c>
      <c r="B30" s="10" t="inlineStr">
        <is>
          <t>Berit Olsen</t>
        </is>
      </c>
      <c r="C30" s="10" t="inlineStr">
        <is>
          <t>Enhetsleder Hjemmetjeneste Vågsbygd</t>
        </is>
      </c>
      <c r="D30" s="10" t="inlineStr">
        <is>
          <t>HELSE</t>
        </is>
      </c>
      <c r="E30" s="10" t="inlineStr">
        <is>
          <t>Hjemmetjenesten Vågsbygd</t>
        </is>
      </c>
      <c r="F30" s="9" t="inlineStr">
        <is>
          <t>Oktober</t>
        </is>
      </c>
      <c r="G30" s="11" t="n">
        <v>42800000</v>
      </c>
      <c r="H30" s="11" t="n">
        <v>33764057.901</v>
      </c>
      <c r="I30" s="12">
        <f>G30-H30</f>
        <v/>
      </c>
      <c r="J30" s="9" t="n">
        <v>2</v>
      </c>
      <c r="K30" s="11">
        <f>I30/MAX(1, J30)</f>
        <v/>
      </c>
      <c r="L30" s="10" t="inlineStr">
        <is>
          <t>🟢 Saldo i balanse (God kontroll)</t>
        </is>
      </c>
      <c r="M30" s="9" t="inlineStr">
        <is>
          <t>GREEN</t>
        </is>
      </c>
    </row>
    <row r="31">
      <c r="A31" s="6" t="inlineStr">
        <is>
          <t>5211-ENH-411</t>
        </is>
      </c>
      <c r="B31" t="inlineStr">
        <is>
          <t>Kirsten Moe</t>
        </is>
      </c>
      <c r="C31" t="inlineStr">
        <is>
          <t>Enhetsleder Hjemmetjeneste Lund</t>
        </is>
      </c>
      <c r="D31" t="inlineStr">
        <is>
          <t>HELSE</t>
        </is>
      </c>
      <c r="E31" t="inlineStr">
        <is>
          <t>Hjemmetjenesten Lund &amp; Sentrum</t>
        </is>
      </c>
      <c r="F31" s="6" t="inlineStr">
        <is>
          <t>Oktober</t>
        </is>
      </c>
      <c r="G31" s="7" t="n">
        <v>22500000</v>
      </c>
      <c r="H31" s="7" t="n">
        <v>17749796.79375</v>
      </c>
      <c r="I31" s="8">
        <f>G31-H31</f>
        <v/>
      </c>
      <c r="J31" s="6" t="n">
        <v>2</v>
      </c>
      <c r="K31" s="7">
        <f>I31/MAX(1, J31)</f>
        <v/>
      </c>
      <c r="L31" t="inlineStr">
        <is>
          <t>🟢 Saldo i balanse (God kontroll)</t>
        </is>
      </c>
      <c r="M31" s="6" t="inlineStr">
        <is>
          <t>GREEN</t>
        </is>
      </c>
    </row>
    <row r="32">
      <c r="A32" s="9" t="inlineStr">
        <is>
          <t>5212-ENH-412</t>
        </is>
      </c>
      <c r="B32" s="10" t="inlineStr">
        <is>
          <t>Ole Petter Vik</t>
        </is>
      </c>
      <c r="C32" s="10" t="inlineStr">
        <is>
          <t>Enhetsleder Hjemmetjeneste Grim</t>
        </is>
      </c>
      <c r="D32" s="10" t="inlineStr">
        <is>
          <t>HELSE</t>
        </is>
      </c>
      <c r="E32" s="10" t="inlineStr">
        <is>
          <t>Hjemmetjenesten Grim &amp; Torridal</t>
        </is>
      </c>
      <c r="F32" s="9" t="inlineStr">
        <is>
          <t>Oktober</t>
        </is>
      </c>
      <c r="G32" s="11" t="n">
        <v>22500000</v>
      </c>
      <c r="H32" s="11" t="n">
        <v>17749796.79375</v>
      </c>
      <c r="I32" s="12">
        <f>G32-H32</f>
        <v/>
      </c>
      <c r="J32" s="9" t="n">
        <v>2</v>
      </c>
      <c r="K32" s="11">
        <f>I32/MAX(1, J32)</f>
        <v/>
      </c>
      <c r="L32" s="10" t="inlineStr">
        <is>
          <t>🟢 Saldo i balanse (God kontroll)</t>
        </is>
      </c>
      <c r="M32" s="9" t="inlineStr">
        <is>
          <t>GREEN</t>
        </is>
      </c>
    </row>
    <row r="33">
      <c r="A33" s="6" t="inlineStr">
        <is>
          <t>5213-ENH-413</t>
        </is>
      </c>
      <c r="B33" t="inlineStr">
        <is>
          <t>Marit Foss</t>
        </is>
      </c>
      <c r="C33" t="inlineStr">
        <is>
          <t>Enhetsleder Hjemmetjeneste Søgne</t>
        </is>
      </c>
      <c r="D33" t="inlineStr">
        <is>
          <t>HELSE</t>
        </is>
      </c>
      <c r="E33" t="inlineStr">
        <is>
          <t>Hjemmetjenesten Søgne &amp; Songdalen</t>
        </is>
      </c>
      <c r="F33" s="6" t="inlineStr">
        <is>
          <t>Oktober</t>
        </is>
      </c>
      <c r="G33" s="7" t="n">
        <v>22500000</v>
      </c>
      <c r="H33" s="7" t="n">
        <v>17749796.79375</v>
      </c>
      <c r="I33" s="8">
        <f>G33-H33</f>
        <v/>
      </c>
      <c r="J33" s="6" t="n">
        <v>2</v>
      </c>
      <c r="K33" s="7">
        <f>I33/MAX(1, J33)</f>
        <v/>
      </c>
      <c r="L33" t="inlineStr">
        <is>
          <t>🟢 Saldo i balanse (God kontroll)</t>
        </is>
      </c>
      <c r="M33" s="6" t="inlineStr">
        <is>
          <t>GREEN</t>
        </is>
      </c>
    </row>
    <row r="34">
      <c r="A34" s="9" t="inlineStr">
        <is>
          <t>5220-ENH-403</t>
        </is>
      </c>
      <c r="B34" s="10" t="inlineStr">
        <is>
          <t>Christian Holte</t>
        </is>
      </c>
      <c r="C34" s="10" t="inlineStr">
        <is>
          <t>Enhetsleder Bo &amp; Miljø</t>
        </is>
      </c>
      <c r="D34" s="10" t="inlineStr">
        <is>
          <t>HELSE</t>
        </is>
      </c>
      <c r="E34" s="10" t="inlineStr">
        <is>
          <t>Bo- og Miljøtjenester Sørlandsparken (Enhet 2540)</t>
        </is>
      </c>
      <c r="F34" s="9" t="inlineStr">
        <is>
          <t>Oktober</t>
        </is>
      </c>
      <c r="G34" s="11" t="n">
        <v>38600000</v>
      </c>
      <c r="H34" s="11" t="n">
        <v>30450762.4995</v>
      </c>
      <c r="I34" s="12">
        <f>G34-H34</f>
        <v/>
      </c>
      <c r="J34" s="9" t="n">
        <v>2</v>
      </c>
      <c r="K34" s="11">
        <f>I34/MAX(1, J34)</f>
        <v/>
      </c>
      <c r="L34" s="10" t="inlineStr">
        <is>
          <t>🟢 Saldo i balanse (God kontroll)</t>
        </is>
      </c>
      <c r="M34" s="9" t="inlineStr">
        <is>
          <t>GREEN</t>
        </is>
      </c>
    </row>
    <row r="35">
      <c r="A35" s="6" t="inlineStr">
        <is>
          <t>5225-ENH-425</t>
        </is>
      </c>
      <c r="B35" t="inlineStr">
        <is>
          <t>Silje Nordbø</t>
        </is>
      </c>
      <c r="C35" t="inlineStr">
        <is>
          <t>Enhetsleder Avlastning</t>
        </is>
      </c>
      <c r="D35" t="inlineStr">
        <is>
          <t>HELSE</t>
        </is>
      </c>
      <c r="E35" t="inlineStr">
        <is>
          <t>Avlastningstjenesten og Barneboliger</t>
        </is>
      </c>
      <c r="F35" s="6" t="inlineStr">
        <is>
          <t>Oktober</t>
        </is>
      </c>
      <c r="G35" s="7" t="n">
        <v>22500000</v>
      </c>
      <c r="H35" s="7" t="n">
        <v>17749796.79375</v>
      </c>
      <c r="I35" s="8">
        <f>G35-H35</f>
        <v/>
      </c>
      <c r="J35" s="6" t="n">
        <v>2</v>
      </c>
      <c r="K35" s="7">
        <f>I35/MAX(1, J35)</f>
        <v/>
      </c>
      <c r="L35" t="inlineStr">
        <is>
          <t>🟢 Saldo i balanse (God kontroll)</t>
        </is>
      </c>
      <c r="M35" s="6" t="inlineStr">
        <is>
          <t>GREEN</t>
        </is>
      </c>
    </row>
    <row r="36">
      <c r="A36" s="9" t="inlineStr">
        <is>
          <t>5230-ENH-404</t>
        </is>
      </c>
      <c r="B36" s="10" t="inlineStr">
        <is>
          <t>Kari Vesterhus</t>
        </is>
      </c>
      <c r="C36" s="10" t="inlineStr">
        <is>
          <t>Enhetsleder Presteheia Omsorgssenter</t>
        </is>
      </c>
      <c r="D36" s="10" t="inlineStr">
        <is>
          <t>HELSE</t>
        </is>
      </c>
      <c r="E36" s="10" t="inlineStr">
        <is>
          <t>Presteheia Omsorgssenter</t>
        </is>
      </c>
      <c r="F36" s="9" t="inlineStr">
        <is>
          <t>Oktober</t>
        </is>
      </c>
      <c r="G36" s="11" t="n">
        <v>29400000</v>
      </c>
      <c r="H36" s="11" t="n">
        <v>23193067.8105</v>
      </c>
      <c r="I36" s="12">
        <f>G36-H36</f>
        <v/>
      </c>
      <c r="J36" s="9" t="n">
        <v>2</v>
      </c>
      <c r="K36" s="11">
        <f>I36/MAX(1, J36)</f>
        <v/>
      </c>
      <c r="L36" s="10" t="inlineStr">
        <is>
          <t>🟢 Saldo i balanse (God kontroll)</t>
        </is>
      </c>
      <c r="M36" s="9" t="inlineStr">
        <is>
          <t>GREEN</t>
        </is>
      </c>
    </row>
    <row r="37">
      <c r="A37" s="6" t="inlineStr">
        <is>
          <t>5240-ENH-405</t>
        </is>
      </c>
      <c r="B37" t="inlineStr">
        <is>
          <t>Inger Marie Løvland</t>
        </is>
      </c>
      <c r="C37" t="inlineStr">
        <is>
          <t>Enhetsleder Valhalla Omsorgssenter</t>
        </is>
      </c>
      <c r="D37" t="inlineStr">
        <is>
          <t>HELSE</t>
        </is>
      </c>
      <c r="E37" t="inlineStr">
        <is>
          <t>Valhalla Omsorgssenter</t>
        </is>
      </c>
      <c r="F37" s="6" t="inlineStr">
        <is>
          <t>Oktober</t>
        </is>
      </c>
      <c r="G37" s="7" t="n">
        <v>22500000</v>
      </c>
      <c r="H37" s="7" t="n">
        <v>17749796.79375</v>
      </c>
      <c r="I37" s="8">
        <f>G37-H37</f>
        <v/>
      </c>
      <c r="J37" s="6" t="n">
        <v>2</v>
      </c>
      <c r="K37" s="7">
        <f>I37/MAX(1, J37)</f>
        <v/>
      </c>
      <c r="L37" t="inlineStr">
        <is>
          <t>🟢 Saldo i balanse (God kontroll)</t>
        </is>
      </c>
      <c r="M37" s="6" t="inlineStr">
        <is>
          <t>GREEN</t>
        </is>
      </c>
    </row>
    <row r="38">
      <c r="A38" s="9" t="inlineStr">
        <is>
          <t>5250-ENH-406</t>
        </is>
      </c>
      <c r="B38" s="10" t="inlineStr">
        <is>
          <t>Torill Hansen</t>
        </is>
      </c>
      <c r="C38" s="10" t="inlineStr">
        <is>
          <t>Enhetsleder Kløvertun</t>
        </is>
      </c>
      <c r="D38" s="10" t="inlineStr">
        <is>
          <t>HELSE</t>
        </is>
      </c>
      <c r="E38" s="10" t="inlineStr">
        <is>
          <t>Kløvertun Omsorgsboliger &amp; Dagsenter</t>
        </is>
      </c>
      <c r="F38" s="9" t="inlineStr">
        <is>
          <t>Oktober</t>
        </is>
      </c>
      <c r="G38" s="11" t="n">
        <v>22500000</v>
      </c>
      <c r="H38" s="11" t="n">
        <v>17749796.79375</v>
      </c>
      <c r="I38" s="12">
        <f>G38-H38</f>
        <v/>
      </c>
      <c r="J38" s="9" t="n">
        <v>2</v>
      </c>
      <c r="K38" s="11">
        <f>I38/MAX(1, J38)</f>
        <v/>
      </c>
      <c r="L38" s="10" t="inlineStr">
        <is>
          <t>🟢 Saldo i balanse (God kontroll)</t>
        </is>
      </c>
      <c r="M38" s="9" t="inlineStr">
        <is>
          <t>GREEN</t>
        </is>
      </c>
    </row>
    <row r="39">
      <c r="A39" s="6" t="inlineStr">
        <is>
          <t>5260-ENH-407</t>
        </is>
      </c>
      <c r="B39" t="inlineStr">
        <is>
          <t>Gunnar Berg</t>
        </is>
      </c>
      <c r="C39" t="inlineStr">
        <is>
          <t>Enhetsleder Ternevig Omsorgssenter</t>
        </is>
      </c>
      <c r="D39" t="inlineStr">
        <is>
          <t>HELSE</t>
        </is>
      </c>
      <c r="E39" t="inlineStr">
        <is>
          <t>Ternevig Omsorgssenter</t>
        </is>
      </c>
      <c r="F39" s="6" t="inlineStr">
        <is>
          <t>Oktober</t>
        </is>
      </c>
      <c r="G39" s="7" t="n">
        <v>22500000</v>
      </c>
      <c r="H39" s="7" t="n">
        <v>17749796.79375</v>
      </c>
      <c r="I39" s="8">
        <f>G39-H39</f>
        <v/>
      </c>
      <c r="J39" s="6" t="n">
        <v>2</v>
      </c>
      <c r="K39" s="7">
        <f>I39/MAX(1, J39)</f>
        <v/>
      </c>
      <c r="L39" t="inlineStr">
        <is>
          <t>🟢 Saldo i balanse (God kontroll)</t>
        </is>
      </c>
      <c r="M39" s="6" t="inlineStr">
        <is>
          <t>GREEN</t>
        </is>
      </c>
    </row>
    <row r="40">
      <c r="A40" s="9" t="inlineStr">
        <is>
          <t>5270-ENH-408</t>
        </is>
      </c>
      <c r="B40" s="10" t="inlineStr">
        <is>
          <t>Astrid Tangen</t>
        </is>
      </c>
      <c r="C40" s="10" t="inlineStr">
        <is>
          <t>Enhetsleder Songdalstunet</t>
        </is>
      </c>
      <c r="D40" s="10" t="inlineStr">
        <is>
          <t>HELSE</t>
        </is>
      </c>
      <c r="E40" s="10" t="inlineStr">
        <is>
          <t>Songdalstunet Omsorgssenter</t>
        </is>
      </c>
      <c r="F40" s="9" t="inlineStr">
        <is>
          <t>Oktober</t>
        </is>
      </c>
      <c r="G40" s="11" t="n">
        <v>22500000</v>
      </c>
      <c r="H40" s="11" t="n">
        <v>17749796.79375</v>
      </c>
      <c r="I40" s="12">
        <f>G40-H40</f>
        <v/>
      </c>
      <c r="J40" s="9" t="n">
        <v>2</v>
      </c>
      <c r="K40" s="11">
        <f>I40/MAX(1, J40)</f>
        <v/>
      </c>
      <c r="L40" s="10" t="inlineStr">
        <is>
          <t>🟢 Saldo i balanse (God kontroll)</t>
        </is>
      </c>
      <c r="M40" s="9" t="inlineStr">
        <is>
          <t>GREEN</t>
        </is>
      </c>
    </row>
    <row r="41">
      <c r="A41" s="6" t="inlineStr">
        <is>
          <t>5300-ENH-420</t>
        </is>
      </c>
      <c r="B41" t="inlineStr">
        <is>
          <t>Dr. Jan Erik Nilsen</t>
        </is>
      </c>
      <c r="C41" t="inlineStr">
        <is>
          <t>Legevaktsjef / Enhetsleder</t>
        </is>
      </c>
      <c r="D41" t="inlineStr">
        <is>
          <t>HELSE</t>
        </is>
      </c>
      <c r="E41" t="inlineStr">
        <is>
          <t>Kristiansand Legevakt &amp; Akuttjeneste</t>
        </is>
      </c>
      <c r="F41" s="6" t="inlineStr">
        <is>
          <t>Oktober</t>
        </is>
      </c>
      <c r="G41" s="7" t="n">
        <v>22500000</v>
      </c>
      <c r="H41" s="7" t="n">
        <v>17749796.79375</v>
      </c>
      <c r="I41" s="8">
        <f>G41-H41</f>
        <v/>
      </c>
      <c r="J41" s="6" t="n">
        <v>2</v>
      </c>
      <c r="K41" s="7">
        <f>I41/MAX(1, J41)</f>
        <v/>
      </c>
      <c r="L41" t="inlineStr">
        <is>
          <t>🟢 Saldo i balanse (God kontroll)</t>
        </is>
      </c>
      <c r="M41" s="6" t="inlineStr">
        <is>
          <t>GREEN</t>
        </is>
      </c>
    </row>
    <row r="42">
      <c r="A42" s="9" t="inlineStr">
        <is>
          <t>5310-ENH-421</t>
        </is>
      </c>
      <c r="B42" s="10" t="inlineStr">
        <is>
          <t>Lene Haugen</t>
        </is>
      </c>
      <c r="C42" s="10" t="inlineStr">
        <is>
          <t>Enhetsleder Fysioterapi</t>
        </is>
      </c>
      <c r="D42" s="10" t="inlineStr">
        <is>
          <t>HELSE</t>
        </is>
      </c>
      <c r="E42" s="10" t="inlineStr">
        <is>
          <t>Fysio- og Ergoterapitjenesten</t>
        </is>
      </c>
      <c r="F42" s="9" t="inlineStr">
        <is>
          <t>Oktober</t>
        </is>
      </c>
      <c r="G42" s="11" t="n">
        <v>22500000</v>
      </c>
      <c r="H42" s="11" t="n">
        <v>17749796.79375</v>
      </c>
      <c r="I42" s="12">
        <f>G42-H42</f>
        <v/>
      </c>
      <c r="J42" s="9" t="n">
        <v>2</v>
      </c>
      <c r="K42" s="11">
        <f>I42/MAX(1, J42)</f>
        <v/>
      </c>
      <c r="L42" s="10" t="inlineStr">
        <is>
          <t>🟢 Saldo i balanse (God kontroll)</t>
        </is>
      </c>
      <c r="M42" s="9" t="inlineStr">
        <is>
          <t>GREEN</t>
        </is>
      </c>
    </row>
    <row r="43">
      <c r="A43" s="6" t="inlineStr">
        <is>
          <t>5320-ENH-422</t>
        </is>
      </c>
      <c r="B43" t="inlineStr">
        <is>
          <t>Morten Danielsen</t>
        </is>
      </c>
      <c r="C43" t="inlineStr">
        <is>
          <t>Enhetsleder Psykisk Helse</t>
        </is>
      </c>
      <c r="D43" t="inlineStr">
        <is>
          <t>HELSE</t>
        </is>
      </c>
      <c r="E43" t="inlineStr">
        <is>
          <t>Psykisk Helse og Rustjenester</t>
        </is>
      </c>
      <c r="F43" s="6" t="inlineStr">
        <is>
          <t>Oktober</t>
        </is>
      </c>
      <c r="G43" s="7" t="n">
        <v>22500000</v>
      </c>
      <c r="H43" s="7" t="n">
        <v>17749796.79375</v>
      </c>
      <c r="I43" s="8">
        <f>G43-H43</f>
        <v/>
      </c>
      <c r="J43" s="6" t="n">
        <v>2</v>
      </c>
      <c r="K43" s="7">
        <f>I43/MAX(1, J43)</f>
        <v/>
      </c>
      <c r="L43" t="inlineStr">
        <is>
          <t>🟢 Saldo i balanse (God kontroll)</t>
        </is>
      </c>
      <c r="M43" s="6" t="inlineStr">
        <is>
          <t>GREEN</t>
        </is>
      </c>
    </row>
    <row r="44">
      <c r="A44" s="9" t="inlineStr">
        <is>
          <t>5330-ENH-426</t>
        </is>
      </c>
      <c r="B44" s="10" t="inlineStr">
        <is>
          <t>Knut Arild Moe</t>
        </is>
      </c>
      <c r="C44" s="10" t="inlineStr">
        <is>
          <t>Enhetsleder Hverdagsrehab</t>
        </is>
      </c>
      <c r="D44" s="10" t="inlineStr">
        <is>
          <t>HELSE</t>
        </is>
      </c>
      <c r="E44" s="10" t="inlineStr">
        <is>
          <t>Hverdagsrehabilitering &amp; Velferdsteknologi</t>
        </is>
      </c>
      <c r="F44" s="9" t="inlineStr">
        <is>
          <t>Oktober</t>
        </is>
      </c>
      <c r="G44" s="11" t="n">
        <v>22500000</v>
      </c>
      <c r="H44" s="11" t="n">
        <v>17749796.79375</v>
      </c>
      <c r="I44" s="12">
        <f>G44-H44</f>
        <v/>
      </c>
      <c r="J44" s="9" t="n">
        <v>2</v>
      </c>
      <c r="K44" s="11">
        <f>I44/MAX(1, J44)</f>
        <v/>
      </c>
      <c r="L44" s="10" t="inlineStr">
        <is>
          <t>🟢 Saldo i balanse (God kontroll)</t>
        </is>
      </c>
      <c r="M44" s="9" t="inlineStr">
        <is>
          <t>GREEN</t>
        </is>
      </c>
    </row>
    <row r="45">
      <c r="A45" s="6" t="inlineStr">
        <is>
          <t>5340-ENH-427</t>
        </is>
      </c>
      <c r="B45" t="inlineStr">
        <is>
          <t>Dr. Camilla Sundt</t>
        </is>
      </c>
      <c r="C45" t="inlineStr">
        <is>
          <t>Kommuneoverlege / Enhetsleder</t>
        </is>
      </c>
      <c r="D45" t="inlineStr">
        <is>
          <t>HELSE</t>
        </is>
      </c>
      <c r="E45" t="inlineStr">
        <is>
          <t>Tannhelse og Samfunnsmedisin</t>
        </is>
      </c>
      <c r="F45" s="6" t="inlineStr">
        <is>
          <t>Oktober</t>
        </is>
      </c>
      <c r="G45" s="7" t="n">
        <v>22500000</v>
      </c>
      <c r="H45" s="7" t="n">
        <v>17749796.79375</v>
      </c>
      <c r="I45" s="8">
        <f>G45-H45</f>
        <v/>
      </c>
      <c r="J45" s="6" t="n">
        <v>2</v>
      </c>
      <c r="K45" s="7">
        <f>I45/MAX(1, J45)</f>
        <v/>
      </c>
      <c r="L45" t="inlineStr">
        <is>
          <t>🟢 Saldo i balanse (God kontroll)</t>
        </is>
      </c>
      <c r="M45" s="6" t="inlineStr">
        <is>
          <t>GREEN</t>
        </is>
      </c>
    </row>
    <row r="46">
      <c r="A46" s="9" t="inlineStr">
        <is>
          <t>BOMILJO</t>
        </is>
      </c>
      <c r="B46" s="10" t="inlineStr">
        <is>
          <t>Christian Holte</t>
        </is>
      </c>
      <c r="C46" s="10" t="inlineStr">
        <is>
          <t>Enhetsleder Bo og Miljø</t>
        </is>
      </c>
      <c r="D46" s="10" t="inlineStr">
        <is>
          <t>HELSE</t>
        </is>
      </c>
      <c r="E46" s="10" t="inlineStr">
        <is>
          <t>Kommunal Boenhet (Bo- og Miljø)</t>
        </is>
      </c>
      <c r="F46" s="9" t="inlineStr">
        <is>
          <t>Oktober</t>
        </is>
      </c>
      <c r="G46" s="11" t="n">
        <v>22500000</v>
      </c>
      <c r="H46" s="11" t="n">
        <v>19397345.967</v>
      </c>
      <c r="I46" s="12">
        <f>G46-H46</f>
        <v/>
      </c>
      <c r="J46" s="9" t="n">
        <v>2</v>
      </c>
      <c r="K46" s="11">
        <f>I46/MAX(1, J46)</f>
        <v/>
      </c>
      <c r="L46" s="10" t="inlineStr">
        <is>
          <t>🔴 Fare for overtrekk (Merforbruk)</t>
        </is>
      </c>
      <c r="M46" s="9" t="inlineStr">
        <is>
          <t>RED</t>
        </is>
      </c>
    </row>
    <row r="47">
      <c r="A47" s="6" t="inlineStr">
        <is>
          <t>2200-ENH-101</t>
        </is>
      </c>
      <c r="B47" t="inlineStr">
        <is>
          <t>Hege Gabrielsen</t>
        </is>
      </c>
      <c r="C47" t="inlineStr">
        <is>
          <t>Biblioteksjef</t>
        </is>
      </c>
      <c r="D47" t="inlineStr">
        <is>
          <t>KULTUR</t>
        </is>
      </c>
      <c r="E47" t="inlineStr">
        <is>
          <t>Kristiansand Folkebibliotek</t>
        </is>
      </c>
      <c r="F47" s="6" t="inlineStr">
        <is>
          <t>Oktober</t>
        </is>
      </c>
      <c r="G47" s="7" t="n">
        <v>22500000</v>
      </c>
      <c r="H47" s="7" t="n">
        <v>17749796.79375</v>
      </c>
      <c r="I47" s="8">
        <f>G47-H47</f>
        <v/>
      </c>
      <c r="J47" s="6" t="n">
        <v>2</v>
      </c>
      <c r="K47" s="7">
        <f>I47/MAX(1, J47)</f>
        <v/>
      </c>
      <c r="L47" t="inlineStr">
        <is>
          <t>🟢 Saldo i balanse (God kontroll)</t>
        </is>
      </c>
      <c r="M47" s="6" t="inlineStr">
        <is>
          <t>GREEN</t>
        </is>
      </c>
    </row>
    <row r="48">
      <c r="A48" s="9" t="inlineStr">
        <is>
          <t>2300-ENH-102</t>
        </is>
      </c>
      <c r="B48" s="10" t="inlineStr">
        <is>
          <t>Harald Furre</t>
        </is>
      </c>
      <c r="C48" s="10" t="inlineStr">
        <is>
          <t>Virksomhetsleder Kilden</t>
        </is>
      </c>
      <c r="D48" s="10" t="inlineStr">
        <is>
          <t>KULTUR</t>
        </is>
      </c>
      <c r="E48" s="10" t="inlineStr">
        <is>
          <t>Kilden Teater og Konserthus</t>
        </is>
      </c>
      <c r="F48" s="9" t="inlineStr">
        <is>
          <t>Oktober</t>
        </is>
      </c>
      <c r="G48" s="11" t="n">
        <v>22500000</v>
      </c>
      <c r="H48" s="11" t="n">
        <v>17749796.79375</v>
      </c>
      <c r="I48" s="12">
        <f>G48-H48</f>
        <v/>
      </c>
      <c r="J48" s="9" t="n">
        <v>2</v>
      </c>
      <c r="K48" s="11">
        <f>I48/MAX(1, J48)</f>
        <v/>
      </c>
      <c r="L48" s="10" t="inlineStr">
        <is>
          <t>🟢 Saldo i balanse (God kontroll)</t>
        </is>
      </c>
      <c r="M48" s="9" t="inlineStr">
        <is>
          <t>GREEN</t>
        </is>
      </c>
    </row>
    <row r="49">
      <c r="A49" s="6" t="inlineStr">
        <is>
          <t>2310-ENH-103</t>
        </is>
      </c>
      <c r="B49" t="inlineStr">
        <is>
          <t>Anne Torill Hovden</t>
        </is>
      </c>
      <c r="C49" t="inlineStr">
        <is>
          <t>Rektor Kulturskolen</t>
        </is>
      </c>
      <c r="D49" t="inlineStr">
        <is>
          <t>KULTUR</t>
        </is>
      </c>
      <c r="E49" t="inlineStr">
        <is>
          <t>Knuden — Kristiansand Kulturskole</t>
        </is>
      </c>
      <c r="F49" s="6" t="inlineStr">
        <is>
          <t>Oktober</t>
        </is>
      </c>
      <c r="G49" s="7" t="n">
        <v>22500000</v>
      </c>
      <c r="H49" s="7" t="n">
        <v>17749796.79375</v>
      </c>
      <c r="I49" s="8">
        <f>G49-H49</f>
        <v/>
      </c>
      <c r="J49" s="6" t="n">
        <v>2</v>
      </c>
      <c r="K49" s="7">
        <f>I49/MAX(1, J49)</f>
        <v/>
      </c>
      <c r="L49" t="inlineStr">
        <is>
          <t>🟢 Saldo i balanse (God kontroll)</t>
        </is>
      </c>
      <c r="M49" s="6" t="inlineStr">
        <is>
          <t>GREEN</t>
        </is>
      </c>
    </row>
    <row r="50">
      <c r="A50" s="9" t="inlineStr">
        <is>
          <t>2320-ENH-106</t>
        </is>
      </c>
      <c r="B50" s="10" t="inlineStr">
        <is>
          <t>Morten Jørgensen</t>
        </is>
      </c>
      <c r="C50" s="10" t="inlineStr">
        <is>
          <t>Daglig leder Samsen</t>
        </is>
      </c>
      <c r="D50" s="10" t="inlineStr">
        <is>
          <t>KULTUR</t>
        </is>
      </c>
      <c r="E50" s="10" t="inlineStr">
        <is>
          <t>Samsen Kulturhus for Ungdom</t>
        </is>
      </c>
      <c r="F50" s="9" t="inlineStr">
        <is>
          <t>Oktober</t>
        </is>
      </c>
      <c r="G50" s="11" t="n">
        <v>22500000</v>
      </c>
      <c r="H50" s="11" t="n">
        <v>17749796.79375</v>
      </c>
      <c r="I50" s="12">
        <f>G50-H50</f>
        <v/>
      </c>
      <c r="J50" s="9" t="n">
        <v>2</v>
      </c>
      <c r="K50" s="11">
        <f>I50/MAX(1, J50)</f>
        <v/>
      </c>
      <c r="L50" s="10" t="inlineStr">
        <is>
          <t>🟢 Saldo i balanse (God kontroll)</t>
        </is>
      </c>
      <c r="M50" s="9" t="inlineStr">
        <is>
          <t>GREEN</t>
        </is>
      </c>
    </row>
    <row r="51">
      <c r="A51" s="6" t="inlineStr">
        <is>
          <t>2330-ENH-107</t>
        </is>
      </c>
      <c r="B51" t="inlineStr">
        <is>
          <t>Eva Danielsen</t>
        </is>
      </c>
      <c r="C51" t="inlineStr">
        <is>
          <t>Virksomhetskoordinator</t>
        </is>
      </c>
      <c r="D51" t="inlineStr">
        <is>
          <t>KULTUR</t>
        </is>
      </c>
      <c r="E51" t="inlineStr">
        <is>
          <t>Sørlandets Kunstmuseum / Kunstsilo</t>
        </is>
      </c>
      <c r="F51" s="6" t="inlineStr">
        <is>
          <t>Oktober</t>
        </is>
      </c>
      <c r="G51" s="7" t="n">
        <v>22500000</v>
      </c>
      <c r="H51" s="7" t="n">
        <v>17749796.79375</v>
      </c>
      <c r="I51" s="8">
        <f>G51-H51</f>
        <v/>
      </c>
      <c r="J51" s="6" t="n">
        <v>2</v>
      </c>
      <c r="K51" s="7">
        <f>I51/MAX(1, J51)</f>
        <v/>
      </c>
      <c r="L51" t="inlineStr">
        <is>
          <t>🟢 Saldo i balanse (God kontroll)</t>
        </is>
      </c>
      <c r="M51" s="6" t="inlineStr">
        <is>
          <t>GREEN</t>
        </is>
      </c>
    </row>
    <row r="52">
      <c r="A52" s="9" t="inlineStr">
        <is>
          <t>2400-ENH-104</t>
        </is>
      </c>
      <c r="B52" s="10" t="inlineStr">
        <is>
          <t>Lars Erik Lørdahl</t>
        </is>
      </c>
      <c r="C52" s="10" t="inlineStr">
        <is>
          <t>Enhetsleder Innbyggertorg</t>
        </is>
      </c>
      <c r="D52" s="10" t="inlineStr">
        <is>
          <t>KULTUR</t>
        </is>
      </c>
      <c r="E52" s="10" t="inlineStr">
        <is>
          <t>Innbyggertorg og Frivillighetssentraler</t>
        </is>
      </c>
      <c r="F52" s="9" t="inlineStr">
        <is>
          <t>Oktober</t>
        </is>
      </c>
      <c r="G52" s="11" t="n">
        <v>22500000</v>
      </c>
      <c r="H52" s="11" t="n">
        <v>17749796.79375</v>
      </c>
      <c r="I52" s="12">
        <f>G52-H52</f>
        <v/>
      </c>
      <c r="J52" s="9" t="n">
        <v>2</v>
      </c>
      <c r="K52" s="11">
        <f>I52/MAX(1, J52)</f>
        <v/>
      </c>
      <c r="L52" s="10" t="inlineStr">
        <is>
          <t>🟢 Saldo i balanse (God kontroll)</t>
        </is>
      </c>
      <c r="M52" s="9" t="inlineStr">
        <is>
          <t>GREEN</t>
        </is>
      </c>
    </row>
    <row r="53">
      <c r="A53" s="6" t="inlineStr">
        <is>
          <t>2500-ENH-105</t>
        </is>
      </c>
      <c r="B53" t="inlineStr">
        <is>
          <t>Øystein Glad</t>
        </is>
      </c>
      <c r="C53" t="inlineStr">
        <is>
          <t>Idrettssjef</t>
        </is>
      </c>
      <c r="D53" t="inlineStr">
        <is>
          <t>KULTUR</t>
        </is>
      </c>
      <c r="E53" t="inlineStr">
        <is>
          <t>Idrettsetaten og Friluftsliv</t>
        </is>
      </c>
      <c r="F53" s="6" t="inlineStr">
        <is>
          <t>Oktober</t>
        </is>
      </c>
      <c r="G53" s="7" t="n">
        <v>22500000</v>
      </c>
      <c r="H53" s="7" t="n">
        <v>17749796.79375</v>
      </c>
      <c r="I53" s="8">
        <f>G53-H53</f>
        <v/>
      </c>
      <c r="J53" s="6" t="n">
        <v>2</v>
      </c>
      <c r="K53" s="7">
        <f>I53/MAX(1, J53)</f>
        <v/>
      </c>
      <c r="L53" t="inlineStr">
        <is>
          <t>🟢 Saldo i balanse (God kontroll)</t>
        </is>
      </c>
      <c r="M53" s="6" t="inlineStr">
        <is>
          <t>GREEN</t>
        </is>
      </c>
    </row>
    <row r="54">
      <c r="A54" s="9" t="inlineStr">
        <is>
          <t>6200-ENH-601</t>
        </is>
      </c>
      <c r="B54" s="10" t="inlineStr">
        <is>
          <t>Knut Ingebrigtsen</t>
        </is>
      </c>
      <c r="C54" s="10" t="inlineStr">
        <is>
          <t>Finans- og Gjeldsforvalter</t>
        </is>
      </c>
      <c r="D54" s="10" t="inlineStr">
        <is>
          <t>OKONOMI</t>
        </is>
      </c>
      <c r="E54" s="10" t="inlineStr">
        <is>
          <t>Finans- og Gjeldsforvaltning</t>
        </is>
      </c>
      <c r="F54" s="9" t="inlineStr">
        <is>
          <t>Oktober</t>
        </is>
      </c>
      <c r="G54" s="11" t="n">
        <v>22500000</v>
      </c>
      <c r="H54" s="11" t="n">
        <v>17749796.79375</v>
      </c>
      <c r="I54" s="12">
        <f>G54-H54</f>
        <v/>
      </c>
      <c r="J54" s="9" t="n">
        <v>2</v>
      </c>
      <c r="K54" s="11">
        <f>I54/MAX(1, J54)</f>
        <v/>
      </c>
      <c r="L54" s="10" t="inlineStr">
        <is>
          <t>🟢 Saldo i balanse (God kontroll)</t>
        </is>
      </c>
      <c r="M54" s="9" t="inlineStr">
        <is>
          <t>GREEN</t>
        </is>
      </c>
    </row>
    <row r="55">
      <c r="A55" s="6" t="inlineStr">
        <is>
          <t>6300-ENH-602</t>
        </is>
      </c>
      <c r="B55" t="inlineStr">
        <is>
          <t>Bård Krossen</t>
        </is>
      </c>
      <c r="C55" t="inlineStr">
        <is>
          <t>Innkjøpssjef</t>
        </is>
      </c>
      <c r="D55" t="inlineStr">
        <is>
          <t>OKONOMI</t>
        </is>
      </c>
      <c r="E55" t="inlineStr">
        <is>
          <t>Innkjøp og Offentlige Anskaffelser</t>
        </is>
      </c>
      <c r="F55" s="6" t="inlineStr">
        <is>
          <t>Oktober</t>
        </is>
      </c>
      <c r="G55" s="7" t="n">
        <v>22500000</v>
      </c>
      <c r="H55" s="7" t="n">
        <v>17749796.79375</v>
      </c>
      <c r="I55" s="8">
        <f>G55-H55</f>
        <v/>
      </c>
      <c r="J55" s="6" t="n">
        <v>2</v>
      </c>
      <c r="K55" s="7">
        <f>I55/MAX(1, J55)</f>
        <v/>
      </c>
      <c r="L55" t="inlineStr">
        <is>
          <t>🟢 Saldo i balanse (God kontroll)</t>
        </is>
      </c>
      <c r="M55" s="6" t="inlineStr">
        <is>
          <t>GREEN</t>
        </is>
      </c>
    </row>
    <row r="56">
      <c r="A56" s="9" t="inlineStr">
        <is>
          <t>6400-ENH-603</t>
        </is>
      </c>
      <c r="B56" s="10" t="inlineStr">
        <is>
          <t>Wenche Solheim</t>
        </is>
      </c>
      <c r="C56" s="10" t="inlineStr">
        <is>
          <t>Lønnsleder</t>
        </is>
      </c>
      <c r="D56" s="10" t="inlineStr">
        <is>
          <t>OKONOMI</t>
        </is>
      </c>
      <c r="E56" s="10" t="inlineStr">
        <is>
          <t>Lønnssentral og Refusjoner</t>
        </is>
      </c>
      <c r="F56" s="9" t="inlineStr">
        <is>
          <t>Oktober</t>
        </is>
      </c>
      <c r="G56" s="11" t="n">
        <v>22500000</v>
      </c>
      <c r="H56" s="11" t="n">
        <v>17749796.79375</v>
      </c>
      <c r="I56" s="12">
        <f>G56-H56</f>
        <v/>
      </c>
      <c r="J56" s="9" t="n">
        <v>2</v>
      </c>
      <c r="K56" s="11">
        <f>I56/MAX(1, J56)</f>
        <v/>
      </c>
      <c r="L56" s="10" t="inlineStr">
        <is>
          <t>🟢 Saldo i balanse (God kontroll)</t>
        </is>
      </c>
      <c r="M56" s="9" t="inlineStr">
        <is>
          <t>GREEN</t>
        </is>
      </c>
    </row>
    <row r="57">
      <c r="A57" s="6" t="inlineStr">
        <is>
          <t>6500-ENH-604</t>
        </is>
      </c>
      <c r="B57" t="inlineStr">
        <is>
          <t>Frank Ellingsen</t>
        </is>
      </c>
      <c r="C57" t="inlineStr">
        <is>
          <t>Senior Financial Controller</t>
        </is>
      </c>
      <c r="D57" t="inlineStr">
        <is>
          <t>OKONOMI</t>
        </is>
      </c>
      <c r="E57" t="inlineStr">
        <is>
          <t>Virksomhetsstyring, Analyse &amp; EPM</t>
        </is>
      </c>
      <c r="F57" s="6" t="inlineStr">
        <is>
          <t>Oktober</t>
        </is>
      </c>
      <c r="G57" s="7" t="n">
        <v>22500000</v>
      </c>
      <c r="H57" s="7" t="n">
        <v>17749796.79375</v>
      </c>
      <c r="I57" s="8">
        <f>G57-H57</f>
        <v/>
      </c>
      <c r="J57" s="6" t="n">
        <v>2</v>
      </c>
      <c r="K57" s="7">
        <f>I57/MAX(1, J57)</f>
        <v/>
      </c>
      <c r="L57" t="inlineStr">
        <is>
          <t>🟢 Saldo i balanse (God kontroll)</t>
        </is>
      </c>
      <c r="M57" s="6" t="inlineStr">
        <is>
          <t>GREEN</t>
        </is>
      </c>
    </row>
    <row r="58">
      <c r="A58" s="9" t="inlineStr">
        <is>
          <t>2020</t>
        </is>
      </c>
      <c r="B58" s="10" t="inlineStr">
        <is>
          <t>Trond Jensen</t>
        </is>
      </c>
      <c r="C58" s="10" t="inlineStr">
        <is>
          <t>Rektor / Enhetsleder</t>
        </is>
      </c>
      <c r="D58" s="10" t="inlineStr">
        <is>
          <t>OPPVEKST</t>
        </is>
      </c>
      <c r="E58" s="10" t="inlineStr">
        <is>
          <t>Lovisenlev Skole (Enhet 2020)</t>
        </is>
      </c>
      <c r="F58" s="9" t="inlineStr">
        <is>
          <t>Oktober</t>
        </is>
      </c>
      <c r="G58" s="11" t="n">
        <v>22500000</v>
      </c>
      <c r="H58" s="11" t="n">
        <v>19136582.7885</v>
      </c>
      <c r="I58" s="12">
        <f>G58-H58</f>
        <v/>
      </c>
      <c r="J58" s="9" t="n">
        <v>2</v>
      </c>
      <c r="K58" s="11">
        <f>I58/MAX(1, J58)</f>
        <v/>
      </c>
      <c r="L58" s="10" t="inlineStr">
        <is>
          <t>🔴 Fare for overtrekk (Merforbruk)</t>
        </is>
      </c>
      <c r="M58" s="9" t="inlineStr">
        <is>
          <t>RED</t>
        </is>
      </c>
    </row>
    <row r="59">
      <c r="A59" s="6" t="inlineStr">
        <is>
          <t>4100-ENH-202</t>
        </is>
      </c>
      <c r="B59" t="inlineStr">
        <is>
          <t>Trond Jensen</t>
        </is>
      </c>
      <c r="C59" t="inlineStr">
        <is>
          <t>Rektor / Enhetsleder Lovisenlev Skole</t>
        </is>
      </c>
      <c r="D59" t="inlineStr">
        <is>
          <t>OPPVEKST</t>
        </is>
      </c>
      <c r="E59" t="inlineStr">
        <is>
          <t>Lovisenlev Skole (Enhet 2020)</t>
        </is>
      </c>
      <c r="F59" s="6" t="inlineStr">
        <is>
          <t>Oktober</t>
        </is>
      </c>
      <c r="G59" s="7" t="n">
        <v>33591000</v>
      </c>
      <c r="H59" s="7" t="n">
        <v>28569642.3310446</v>
      </c>
      <c r="I59" s="8">
        <f>G59-H59</f>
        <v/>
      </c>
      <c r="J59" s="6" t="n">
        <v>2</v>
      </c>
      <c r="K59" s="7">
        <f>I59/MAX(1, J59)</f>
        <v/>
      </c>
      <c r="L59" t="inlineStr">
        <is>
          <t>🔴 Fare for overtrekk (Merforbruk)</t>
        </is>
      </c>
      <c r="M59" s="6" t="inlineStr">
        <is>
          <t>RED</t>
        </is>
      </c>
    </row>
    <row r="60">
      <c r="A60" s="9" t="inlineStr">
        <is>
          <t>4101-ENH-203</t>
        </is>
      </c>
      <c r="B60" s="10" t="inlineStr">
        <is>
          <t>Mona Lindstrøm</t>
        </is>
      </c>
      <c r="C60" s="10" t="inlineStr">
        <is>
          <t>Rektor Vågsbygd Skole</t>
        </is>
      </c>
      <c r="D60" s="10" t="inlineStr">
        <is>
          <t>OPPVEKST</t>
        </is>
      </c>
      <c r="E60" s="10" t="inlineStr">
        <is>
          <t>Vågsbygd Skole</t>
        </is>
      </c>
      <c r="F60" s="9" t="inlineStr">
        <is>
          <t>Oktober</t>
        </is>
      </c>
      <c r="G60" s="11" t="n">
        <v>31200000</v>
      </c>
      <c r="H60" s="11" t="n">
        <v>26536061.46672</v>
      </c>
      <c r="I60" s="12">
        <f>G60-H60</f>
        <v/>
      </c>
      <c r="J60" s="9" t="n">
        <v>2</v>
      </c>
      <c r="K60" s="11">
        <f>I60/MAX(1, J60)</f>
        <v/>
      </c>
      <c r="L60" s="10" t="inlineStr">
        <is>
          <t>🔴 Fare for overtrekk (Merforbruk)</t>
        </is>
      </c>
      <c r="M60" s="9" t="inlineStr">
        <is>
          <t>RED</t>
        </is>
      </c>
    </row>
    <row r="61">
      <c r="A61" s="6" t="inlineStr">
        <is>
          <t>4102-ENH-204</t>
        </is>
      </c>
      <c r="B61" t="inlineStr">
        <is>
          <t>Espen Birkeland</t>
        </is>
      </c>
      <c r="C61" t="inlineStr">
        <is>
          <t>Rektor Grim Ungdomsskole</t>
        </is>
      </c>
      <c r="D61" t="inlineStr">
        <is>
          <t>OPPVEKST</t>
        </is>
      </c>
      <c r="E61" t="inlineStr">
        <is>
          <t>Grim Ungdomsskole</t>
        </is>
      </c>
      <c r="F61" s="6" t="inlineStr">
        <is>
          <t>Oktober</t>
        </is>
      </c>
      <c r="G61" s="7" t="n">
        <v>28900000</v>
      </c>
      <c r="H61" s="7" t="n">
        <v>22798627.88175</v>
      </c>
      <c r="I61" s="8">
        <f>G61-H61</f>
        <v/>
      </c>
      <c r="J61" s="6" t="n">
        <v>2</v>
      </c>
      <c r="K61" s="7">
        <f>I61/MAX(1, J61)</f>
        <v/>
      </c>
      <c r="L61" t="inlineStr">
        <is>
          <t>🟢 Saldo i balanse (God kontroll)</t>
        </is>
      </c>
      <c r="M61" s="6" t="inlineStr">
        <is>
          <t>GREEN</t>
        </is>
      </c>
    </row>
    <row r="62">
      <c r="A62" s="9" t="inlineStr">
        <is>
          <t>4106-ENH-205</t>
        </is>
      </c>
      <c r="B62" s="10" t="inlineStr">
        <is>
          <t>Jorunn Tellefsen</t>
        </is>
      </c>
      <c r="C62" s="10" t="inlineStr">
        <is>
          <t>Rektor Havlimyra Ungdomsskole</t>
        </is>
      </c>
      <c r="D62" s="10" t="inlineStr">
        <is>
          <t>OPPVEKST</t>
        </is>
      </c>
      <c r="E62" s="10" t="inlineStr">
        <is>
          <t>Havlimyra Ungdomsskole</t>
        </is>
      </c>
      <c r="F62" s="9" t="inlineStr">
        <is>
          <t>Oktober</t>
        </is>
      </c>
      <c r="G62" s="11" t="n">
        <v>22500000</v>
      </c>
      <c r="H62" s="11" t="n">
        <v>17749796.79375</v>
      </c>
      <c r="I62" s="12">
        <f>G62-H62</f>
        <v/>
      </c>
      <c r="J62" s="9" t="n">
        <v>2</v>
      </c>
      <c r="K62" s="11">
        <f>I62/MAX(1, J62)</f>
        <v/>
      </c>
      <c r="L62" s="10" t="inlineStr">
        <is>
          <t>🟢 Saldo i balanse (God kontroll)</t>
        </is>
      </c>
      <c r="M62" s="9" t="inlineStr">
        <is>
          <t>GREEN</t>
        </is>
      </c>
    </row>
    <row r="63">
      <c r="A63" s="6" t="inlineStr">
        <is>
          <t>4107-ENH-206</t>
        </is>
      </c>
      <c r="B63" t="inlineStr">
        <is>
          <t>Knut Helge Møller</t>
        </is>
      </c>
      <c r="C63" t="inlineStr">
        <is>
          <t>Rektor Tangvall Skole</t>
        </is>
      </c>
      <c r="D63" t="inlineStr">
        <is>
          <t>OPPVEKST</t>
        </is>
      </c>
      <c r="E63" t="inlineStr">
        <is>
          <t>Tangvall Skole</t>
        </is>
      </c>
      <c r="F63" s="6" t="inlineStr">
        <is>
          <t>Oktober</t>
        </is>
      </c>
      <c r="G63" s="7" t="n">
        <v>22500000</v>
      </c>
      <c r="H63" s="7" t="n">
        <v>19136582.7885</v>
      </c>
      <c r="I63" s="8">
        <f>G63-H63</f>
        <v/>
      </c>
      <c r="J63" s="6" t="n">
        <v>2</v>
      </c>
      <c r="K63" s="7">
        <f>I63/MAX(1, J63)</f>
        <v/>
      </c>
      <c r="L63" t="inlineStr">
        <is>
          <t>🔴 Fare for overtrekk (Merforbruk)</t>
        </is>
      </c>
      <c r="M63" s="6" t="inlineStr">
        <is>
          <t>RED</t>
        </is>
      </c>
    </row>
    <row r="64">
      <c r="A64" s="9" t="inlineStr">
        <is>
          <t>4108-ENH-207</t>
        </is>
      </c>
      <c r="B64" s="10" t="inlineStr">
        <is>
          <t>Lars Bentsen</t>
        </is>
      </c>
      <c r="C64" s="10" t="inlineStr">
        <is>
          <t>Rektor Fiskå Skole</t>
        </is>
      </c>
      <c r="D64" s="10" t="inlineStr">
        <is>
          <t>OPPVEKST</t>
        </is>
      </c>
      <c r="E64" s="10" t="inlineStr">
        <is>
          <t>Fiskå Skole</t>
        </is>
      </c>
      <c r="F64" s="9" t="inlineStr">
        <is>
          <t>Oktober</t>
        </is>
      </c>
      <c r="G64" s="11" t="n">
        <v>22500000</v>
      </c>
      <c r="H64" s="11" t="n">
        <v>19136582.7885</v>
      </c>
      <c r="I64" s="12">
        <f>G64-H64</f>
        <v/>
      </c>
      <c r="J64" s="9" t="n">
        <v>2</v>
      </c>
      <c r="K64" s="11">
        <f>I64/MAX(1, J64)</f>
        <v/>
      </c>
      <c r="L64" s="10" t="inlineStr">
        <is>
          <t>🔴 Fare for overtrekk (Merforbruk)</t>
        </is>
      </c>
      <c r="M64" s="9" t="inlineStr">
        <is>
          <t>RED</t>
        </is>
      </c>
    </row>
    <row r="65">
      <c r="A65" s="6" t="inlineStr">
        <is>
          <t>4109-ENH-208</t>
        </is>
      </c>
      <c r="B65" t="inlineStr">
        <is>
          <t>Anne Grethe Dahl</t>
        </is>
      </c>
      <c r="C65" t="inlineStr">
        <is>
          <t>Rektor Karl Johans Minne</t>
        </is>
      </c>
      <c r="D65" t="inlineStr">
        <is>
          <t>OPPVEKST</t>
        </is>
      </c>
      <c r="E65" t="inlineStr">
        <is>
          <t>Karl Johans Minne Skole</t>
        </is>
      </c>
      <c r="F65" s="6" t="inlineStr">
        <is>
          <t>Oktober</t>
        </is>
      </c>
      <c r="G65" s="7" t="n">
        <v>22500000</v>
      </c>
      <c r="H65" s="7" t="n">
        <v>19136582.7885</v>
      </c>
      <c r="I65" s="8">
        <f>G65-H65</f>
        <v/>
      </c>
      <c r="J65" s="6" t="n">
        <v>2</v>
      </c>
      <c r="K65" s="7">
        <f>I65/MAX(1, J65)</f>
        <v/>
      </c>
      <c r="L65" t="inlineStr">
        <is>
          <t>🔴 Fare for overtrekk (Merforbruk)</t>
        </is>
      </c>
      <c r="M65" s="6" t="inlineStr">
        <is>
          <t>RED</t>
        </is>
      </c>
    </row>
    <row r="66">
      <c r="A66" s="9" t="inlineStr">
        <is>
          <t>4110-ENH-209</t>
        </is>
      </c>
      <c r="B66" s="10" t="inlineStr">
        <is>
          <t>Helge Torvund</t>
        </is>
      </c>
      <c r="C66" s="10" t="inlineStr">
        <is>
          <t>Rektor Presteheia Skole</t>
        </is>
      </c>
      <c r="D66" s="10" t="inlineStr">
        <is>
          <t>OPPVEKST</t>
        </is>
      </c>
      <c r="E66" s="10" t="inlineStr">
        <is>
          <t>Presteheia Skole</t>
        </is>
      </c>
      <c r="F66" s="9" t="inlineStr">
        <is>
          <t>Oktober</t>
        </is>
      </c>
      <c r="G66" s="11" t="n">
        <v>22500000</v>
      </c>
      <c r="H66" s="11" t="n">
        <v>19136582.7885</v>
      </c>
      <c r="I66" s="12">
        <f>G66-H66</f>
        <v/>
      </c>
      <c r="J66" s="9" t="n">
        <v>2</v>
      </c>
      <c r="K66" s="11">
        <f>I66/MAX(1, J66)</f>
        <v/>
      </c>
      <c r="L66" s="10" t="inlineStr">
        <is>
          <t>🔴 Fare for overtrekk (Merforbruk)</t>
        </is>
      </c>
      <c r="M66" s="9" t="inlineStr">
        <is>
          <t>RED</t>
        </is>
      </c>
    </row>
    <row r="67">
      <c r="A67" s="6" t="inlineStr">
        <is>
          <t>4111-ENH-210</t>
        </is>
      </c>
      <c r="B67" t="inlineStr">
        <is>
          <t>Inger Lise Olsen</t>
        </is>
      </c>
      <c r="C67" t="inlineStr">
        <is>
          <t>Rektor Wilds Minne Skole</t>
        </is>
      </c>
      <c r="D67" t="inlineStr">
        <is>
          <t>OPPVEKST</t>
        </is>
      </c>
      <c r="E67" t="inlineStr">
        <is>
          <t>Wilds Minne Skole</t>
        </is>
      </c>
      <c r="F67" s="6" t="inlineStr">
        <is>
          <t>Oktober</t>
        </is>
      </c>
      <c r="G67" s="7" t="n">
        <v>22500000</v>
      </c>
      <c r="H67" s="7" t="n">
        <v>19136582.7885</v>
      </c>
      <c r="I67" s="8">
        <f>G67-H67</f>
        <v/>
      </c>
      <c r="J67" s="6" t="n">
        <v>2</v>
      </c>
      <c r="K67" s="7">
        <f>I67/MAX(1, J67)</f>
        <v/>
      </c>
      <c r="L67" t="inlineStr">
        <is>
          <t>🔴 Fare for overtrekk (Merforbruk)</t>
        </is>
      </c>
      <c r="M67" s="6" t="inlineStr">
        <is>
          <t>RED</t>
        </is>
      </c>
    </row>
    <row r="68">
      <c r="A68" s="9" t="inlineStr">
        <is>
          <t>4112-ENH-212</t>
        </is>
      </c>
      <c r="B68" s="10" t="inlineStr">
        <is>
          <t>Bjørn Tore Foss</t>
        </is>
      </c>
      <c r="C68" s="10" t="inlineStr">
        <is>
          <t>Rektor Dvergsnes Skole</t>
        </is>
      </c>
      <c r="D68" s="10" t="inlineStr">
        <is>
          <t>OPPVEKST</t>
        </is>
      </c>
      <c r="E68" s="10" t="inlineStr">
        <is>
          <t>Dvergsnes Skole</t>
        </is>
      </c>
      <c r="F68" s="9" t="inlineStr">
        <is>
          <t>Oktober</t>
        </is>
      </c>
      <c r="G68" s="11" t="n">
        <v>22500000</v>
      </c>
      <c r="H68" s="11" t="n">
        <v>19136582.7885</v>
      </c>
      <c r="I68" s="12">
        <f>G68-H68</f>
        <v/>
      </c>
      <c r="J68" s="9" t="n">
        <v>2</v>
      </c>
      <c r="K68" s="11">
        <f>I68/MAX(1, J68)</f>
        <v/>
      </c>
      <c r="L68" s="10" t="inlineStr">
        <is>
          <t>🔴 Fare for overtrekk (Merforbruk)</t>
        </is>
      </c>
      <c r="M68" s="9" t="inlineStr">
        <is>
          <t>RED</t>
        </is>
      </c>
    </row>
    <row r="69">
      <c r="A69" s="6" t="inlineStr">
        <is>
          <t>4113-ENH-213</t>
        </is>
      </c>
      <c r="B69" t="inlineStr">
        <is>
          <t>Hege Sundt</t>
        </is>
      </c>
      <c r="C69" t="inlineStr">
        <is>
          <t>Rektor Fagerholt Skole</t>
        </is>
      </c>
      <c r="D69" t="inlineStr">
        <is>
          <t>OPPVEKST</t>
        </is>
      </c>
      <c r="E69" t="inlineStr">
        <is>
          <t>Fagerholt Skole</t>
        </is>
      </c>
      <c r="F69" s="6" t="inlineStr">
        <is>
          <t>Oktober</t>
        </is>
      </c>
      <c r="G69" s="7" t="n">
        <v>22500000</v>
      </c>
      <c r="H69" s="7" t="n">
        <v>19136582.7885</v>
      </c>
      <c r="I69" s="8">
        <f>G69-H69</f>
        <v/>
      </c>
      <c r="J69" s="6" t="n">
        <v>2</v>
      </c>
      <c r="K69" s="7">
        <f>I69/MAX(1, J69)</f>
        <v/>
      </c>
      <c r="L69" t="inlineStr">
        <is>
          <t>🔴 Fare for overtrekk (Merforbruk)</t>
        </is>
      </c>
      <c r="M69" s="6" t="inlineStr">
        <is>
          <t>RED</t>
        </is>
      </c>
    </row>
    <row r="70">
      <c r="A70" s="9" t="inlineStr">
        <is>
          <t>4114-ENH-214</t>
        </is>
      </c>
      <c r="B70" s="10" t="inlineStr">
        <is>
          <t>Rune Simonsen</t>
        </is>
      </c>
      <c r="C70" s="10" t="inlineStr">
        <is>
          <t>Rektor Hånes Skole</t>
        </is>
      </c>
      <c r="D70" s="10" t="inlineStr">
        <is>
          <t>OPPVEKST</t>
        </is>
      </c>
      <c r="E70" s="10" t="inlineStr">
        <is>
          <t>Hånes Skole</t>
        </is>
      </c>
      <c r="F70" s="9" t="inlineStr">
        <is>
          <t>Oktober</t>
        </is>
      </c>
      <c r="G70" s="11" t="n">
        <v>22500000</v>
      </c>
      <c r="H70" s="11" t="n">
        <v>19136582.7885</v>
      </c>
      <c r="I70" s="12">
        <f>G70-H70</f>
        <v/>
      </c>
      <c r="J70" s="9" t="n">
        <v>2</v>
      </c>
      <c r="K70" s="11">
        <f>I70/MAX(1, J70)</f>
        <v/>
      </c>
      <c r="L70" s="10" t="inlineStr">
        <is>
          <t>🔴 Fare for overtrekk (Merforbruk)</t>
        </is>
      </c>
      <c r="M70" s="9" t="inlineStr">
        <is>
          <t>RED</t>
        </is>
      </c>
    </row>
    <row r="71">
      <c r="A71" s="6" t="inlineStr">
        <is>
          <t>4115-ENH-215</t>
        </is>
      </c>
      <c r="B71" t="inlineStr">
        <is>
          <t>Kari Mette Vike</t>
        </is>
      </c>
      <c r="C71" t="inlineStr">
        <is>
          <t>Rektor Slettheia Skole</t>
        </is>
      </c>
      <c r="D71" t="inlineStr">
        <is>
          <t>OPPVEKST</t>
        </is>
      </c>
      <c r="E71" t="inlineStr">
        <is>
          <t>Slettheia Skole</t>
        </is>
      </c>
      <c r="F71" s="6" t="inlineStr">
        <is>
          <t>Oktober</t>
        </is>
      </c>
      <c r="G71" s="7" t="n">
        <v>22500000</v>
      </c>
      <c r="H71" s="7" t="n">
        <v>19136582.7885</v>
      </c>
      <c r="I71" s="8">
        <f>G71-H71</f>
        <v/>
      </c>
      <c r="J71" s="6" t="n">
        <v>2</v>
      </c>
      <c r="K71" s="7">
        <f>I71/MAX(1, J71)</f>
        <v/>
      </c>
      <c r="L71" t="inlineStr">
        <is>
          <t>🔴 Fare for overtrekk (Merforbruk)</t>
        </is>
      </c>
      <c r="M71" s="6" t="inlineStr">
        <is>
          <t>RED</t>
        </is>
      </c>
    </row>
    <row r="72">
      <c r="A72" s="9" t="inlineStr">
        <is>
          <t>4116-ENH-216</t>
        </is>
      </c>
      <c r="B72" s="10" t="inlineStr">
        <is>
          <t>Terje Haugland</t>
        </is>
      </c>
      <c r="C72" s="10" t="inlineStr">
        <is>
          <t>Rektor Vardåsen Skole</t>
        </is>
      </c>
      <c r="D72" s="10" t="inlineStr">
        <is>
          <t>OPPVEKST</t>
        </is>
      </c>
      <c r="E72" s="10" t="inlineStr">
        <is>
          <t>Vardåsen Skole</t>
        </is>
      </c>
      <c r="F72" s="9" t="inlineStr">
        <is>
          <t>Oktober</t>
        </is>
      </c>
      <c r="G72" s="11" t="n">
        <v>22500000</v>
      </c>
      <c r="H72" s="11" t="n">
        <v>19136582.7885</v>
      </c>
      <c r="I72" s="12">
        <f>G72-H72</f>
        <v/>
      </c>
      <c r="J72" s="9" t="n">
        <v>2</v>
      </c>
      <c r="K72" s="11">
        <f>I72/MAX(1, J72)</f>
        <v/>
      </c>
      <c r="L72" s="10" t="inlineStr">
        <is>
          <t>🔴 Fare for overtrekk (Merforbruk)</t>
        </is>
      </c>
      <c r="M72" s="9" t="inlineStr">
        <is>
          <t>RED</t>
        </is>
      </c>
    </row>
    <row r="73">
      <c r="A73" s="6" t="inlineStr">
        <is>
          <t>4117-ENH-217</t>
        </is>
      </c>
      <c r="B73" t="inlineStr">
        <is>
          <t>Mette Løvland</t>
        </is>
      </c>
      <c r="C73" t="inlineStr">
        <is>
          <t>Rektor Karuss Skole</t>
        </is>
      </c>
      <c r="D73" t="inlineStr">
        <is>
          <t>OPPVEKST</t>
        </is>
      </c>
      <c r="E73" t="inlineStr">
        <is>
          <t>Karuss Skole</t>
        </is>
      </c>
      <c r="F73" s="6" t="inlineStr">
        <is>
          <t>Oktober</t>
        </is>
      </c>
      <c r="G73" s="7" t="n">
        <v>22500000</v>
      </c>
      <c r="H73" s="7" t="n">
        <v>19136582.7885</v>
      </c>
      <c r="I73" s="8">
        <f>G73-H73</f>
        <v/>
      </c>
      <c r="J73" s="6" t="n">
        <v>2</v>
      </c>
      <c r="K73" s="7">
        <f>I73/MAX(1, J73)</f>
        <v/>
      </c>
      <c r="L73" t="inlineStr">
        <is>
          <t>🔴 Fare for overtrekk (Merforbruk)</t>
        </is>
      </c>
      <c r="M73" s="6" t="inlineStr">
        <is>
          <t>RED</t>
        </is>
      </c>
    </row>
    <row r="74">
      <c r="A74" s="9" t="inlineStr">
        <is>
          <t>4210-ENH-211</t>
        </is>
      </c>
      <c r="B74" s="10" t="inlineStr">
        <is>
          <t>Grete Hovden</t>
        </is>
      </c>
      <c r="C74" s="10" t="inlineStr">
        <is>
          <t>Styrer Lund Barnehage</t>
        </is>
      </c>
      <c r="D74" s="10" t="inlineStr">
        <is>
          <t>OPPVEKST</t>
        </is>
      </c>
      <c r="E74" s="10" t="inlineStr">
        <is>
          <t>Lund Kommunale Barnehage</t>
        </is>
      </c>
      <c r="F74" s="9" t="inlineStr">
        <is>
          <t>Oktober</t>
        </is>
      </c>
      <c r="G74" s="11" t="n">
        <v>18900000</v>
      </c>
      <c r="H74" s="11" t="n">
        <v>14909829.30675</v>
      </c>
      <c r="I74" s="12">
        <f>G74-H74</f>
        <v/>
      </c>
      <c r="J74" s="9" t="n">
        <v>2</v>
      </c>
      <c r="K74" s="11">
        <f>I74/MAX(1, J74)</f>
        <v/>
      </c>
      <c r="L74" s="10" t="inlineStr">
        <is>
          <t>🟢 Saldo i balanse (God kontroll)</t>
        </is>
      </c>
      <c r="M74" s="9" t="inlineStr">
        <is>
          <t>GREEN</t>
        </is>
      </c>
    </row>
    <row r="75">
      <c r="A75" s="6" t="inlineStr">
        <is>
          <t>4211-ENH-220</t>
        </is>
      </c>
      <c r="B75" t="inlineStr">
        <is>
          <t>Lise Berntsen</t>
        </is>
      </c>
      <c r="C75" t="inlineStr">
        <is>
          <t>Styrer Vågsbygd Barnehage</t>
        </is>
      </c>
      <c r="D75" t="inlineStr">
        <is>
          <t>OPPVEKST</t>
        </is>
      </c>
      <c r="E75" t="inlineStr">
        <is>
          <t>Vågsbygd Barnehage</t>
        </is>
      </c>
      <c r="F75" s="6" t="inlineStr">
        <is>
          <t>Oktober</t>
        </is>
      </c>
      <c r="G75" s="7" t="n">
        <v>22500000</v>
      </c>
      <c r="H75" s="7" t="n">
        <v>17749796.79375</v>
      </c>
      <c r="I75" s="8">
        <f>G75-H75</f>
        <v/>
      </c>
      <c r="J75" s="6" t="n">
        <v>2</v>
      </c>
      <c r="K75" s="7">
        <f>I75/MAX(1, J75)</f>
        <v/>
      </c>
      <c r="L75" t="inlineStr">
        <is>
          <t>🟢 Saldo i balanse (God kontroll)</t>
        </is>
      </c>
      <c r="M75" s="6" t="inlineStr">
        <is>
          <t>GREEN</t>
        </is>
      </c>
    </row>
    <row r="76">
      <c r="A76" s="9" t="inlineStr">
        <is>
          <t>4212-ENH-221</t>
        </is>
      </c>
      <c r="B76" s="10" t="inlineStr">
        <is>
          <t>Kari Tønnessen</t>
        </is>
      </c>
      <c r="C76" s="10" t="inlineStr">
        <is>
          <t>Styrer Sentrum Barnehage</t>
        </is>
      </c>
      <c r="D76" s="10" t="inlineStr">
        <is>
          <t>OPPVEKST</t>
        </is>
      </c>
      <c r="E76" s="10" t="inlineStr">
        <is>
          <t>Sentrum Barnehage</t>
        </is>
      </c>
      <c r="F76" s="9" t="inlineStr">
        <is>
          <t>Oktober</t>
        </is>
      </c>
      <c r="G76" s="11" t="n">
        <v>22500000</v>
      </c>
      <c r="H76" s="11" t="n">
        <v>17749796.79375</v>
      </c>
      <c r="I76" s="12">
        <f>G76-H76</f>
        <v/>
      </c>
      <c r="J76" s="9" t="n">
        <v>2</v>
      </c>
      <c r="K76" s="11">
        <f>I76/MAX(1, J76)</f>
        <v/>
      </c>
      <c r="L76" s="10" t="inlineStr">
        <is>
          <t>🟢 Saldo i balanse (God kontroll)</t>
        </is>
      </c>
      <c r="M76" s="9" t="inlineStr">
        <is>
          <t>GREEN</t>
        </is>
      </c>
    </row>
    <row r="77">
      <c r="A77" s="6" t="inlineStr">
        <is>
          <t>4213-ENH-222</t>
        </is>
      </c>
      <c r="B77" t="inlineStr">
        <is>
          <t>Tone Myhre</t>
        </is>
      </c>
      <c r="C77" t="inlineStr">
        <is>
          <t>Styrer Hånes Barnehage</t>
        </is>
      </c>
      <c r="D77" t="inlineStr">
        <is>
          <t>OPPVEKST</t>
        </is>
      </c>
      <c r="E77" t="inlineStr">
        <is>
          <t>Hånes Barnehage</t>
        </is>
      </c>
      <c r="F77" s="6" t="inlineStr">
        <is>
          <t>Oktober</t>
        </is>
      </c>
      <c r="G77" s="7" t="n">
        <v>22500000</v>
      </c>
      <c r="H77" s="7" t="n">
        <v>17749796.79375</v>
      </c>
      <c r="I77" s="8">
        <f>G77-H77</f>
        <v/>
      </c>
      <c r="J77" s="6" t="n">
        <v>2</v>
      </c>
      <c r="K77" s="7">
        <f>I77/MAX(1, J77)</f>
        <v/>
      </c>
      <c r="L77" t="inlineStr">
        <is>
          <t>🟢 Saldo i balanse (God kontroll)</t>
        </is>
      </c>
      <c r="M77" s="6" t="inlineStr">
        <is>
          <t>GREEN</t>
        </is>
      </c>
    </row>
    <row r="78">
      <c r="A78" s="9" t="inlineStr">
        <is>
          <t>4214-ENH-223</t>
        </is>
      </c>
      <c r="B78" s="10" t="inlineStr">
        <is>
          <t>Ellen Sandnes</t>
        </is>
      </c>
      <c r="C78" s="10" t="inlineStr">
        <is>
          <t>Styrer Søgne Barnehage</t>
        </is>
      </c>
      <c r="D78" s="10" t="inlineStr">
        <is>
          <t>OPPVEKST</t>
        </is>
      </c>
      <c r="E78" s="10" t="inlineStr">
        <is>
          <t>Søgne Barnehage</t>
        </is>
      </c>
      <c r="F78" s="9" t="inlineStr">
        <is>
          <t>Oktober</t>
        </is>
      </c>
      <c r="G78" s="11" t="n">
        <v>22500000</v>
      </c>
      <c r="H78" s="11" t="n">
        <v>17749796.79375</v>
      </c>
      <c r="I78" s="12">
        <f>G78-H78</f>
        <v/>
      </c>
      <c r="J78" s="9" t="n">
        <v>2</v>
      </c>
      <c r="K78" s="11">
        <f>I78/MAX(1, J78)</f>
        <v/>
      </c>
      <c r="L78" s="10" t="inlineStr">
        <is>
          <t>🟢 Saldo i balanse (God kontroll)</t>
        </is>
      </c>
      <c r="M78" s="9" t="inlineStr">
        <is>
          <t>GREEN</t>
        </is>
      </c>
    </row>
    <row r="79">
      <c r="A79" s="6" t="inlineStr">
        <is>
          <t>4300-ENH-230</t>
        </is>
      </c>
      <c r="B79" t="inlineStr">
        <is>
          <t>Gisle Eikeland</t>
        </is>
      </c>
      <c r="C79" t="inlineStr">
        <is>
          <t>Leder PPT</t>
        </is>
      </c>
      <c r="D79" t="inlineStr">
        <is>
          <t>OPPVEKST</t>
        </is>
      </c>
      <c r="E79" t="inlineStr">
        <is>
          <t>Pedagogisk-Psykologisk Tjeneste (PPT)</t>
        </is>
      </c>
      <c r="F79" s="6" t="inlineStr">
        <is>
          <t>Oktober</t>
        </is>
      </c>
      <c r="G79" s="7" t="n">
        <v>22500000</v>
      </c>
      <c r="H79" s="7" t="n">
        <v>17749796.79375</v>
      </c>
      <c r="I79" s="8">
        <f>G79-H79</f>
        <v/>
      </c>
      <c r="J79" s="6" t="n">
        <v>2</v>
      </c>
      <c r="K79" s="7">
        <f>I79/MAX(1, J79)</f>
        <v/>
      </c>
      <c r="L79" t="inlineStr">
        <is>
          <t>🟢 Saldo i balanse (God kontroll)</t>
        </is>
      </c>
      <c r="M79" s="6" t="inlineStr">
        <is>
          <t>GREEN</t>
        </is>
      </c>
    </row>
    <row r="80">
      <c r="A80" s="9" t="inlineStr">
        <is>
          <t>4310-ENH-231</t>
        </is>
      </c>
      <c r="B80" s="10" t="inlineStr">
        <is>
          <t>Heidi Vimme</t>
        </is>
      </c>
      <c r="C80" s="10" t="inlineStr">
        <is>
          <t>Barnevernsleder</t>
        </is>
      </c>
      <c r="D80" s="10" t="inlineStr">
        <is>
          <t>OPPVEKST</t>
        </is>
      </c>
      <c r="E80" s="10" t="inlineStr">
        <is>
          <t>Barnevernstjenesten Kristiansand</t>
        </is>
      </c>
      <c r="F80" s="9" t="inlineStr">
        <is>
          <t>Oktober</t>
        </is>
      </c>
      <c r="G80" s="11" t="n">
        <v>22500000</v>
      </c>
      <c r="H80" s="11" t="n">
        <v>17749796.79375</v>
      </c>
      <c r="I80" s="12">
        <f>G80-H80</f>
        <v/>
      </c>
      <c r="J80" s="9" t="n">
        <v>2</v>
      </c>
      <c r="K80" s="11">
        <f>I80/MAX(1, J80)</f>
        <v/>
      </c>
      <c r="L80" s="10" t="inlineStr">
        <is>
          <t>🟢 Saldo i balanse (God kontroll)</t>
        </is>
      </c>
      <c r="M80" s="9" t="inlineStr">
        <is>
          <t>GREEN</t>
        </is>
      </c>
    </row>
    <row r="81">
      <c r="A81" s="6" t="inlineStr">
        <is>
          <t>4320-ENH-232</t>
        </is>
      </c>
      <c r="B81" t="inlineStr">
        <is>
          <t>Liv Jorunn Foss</t>
        </is>
      </c>
      <c r="C81" t="inlineStr">
        <is>
          <t>Enhetsleder Forebygging</t>
        </is>
      </c>
      <c r="D81" t="inlineStr">
        <is>
          <t>OPPVEKST</t>
        </is>
      </c>
      <c r="E81" t="inlineStr">
        <is>
          <t>Forebyggende Helsetjenester Barn &amp; Unge</t>
        </is>
      </c>
      <c r="F81" s="6" t="inlineStr">
        <is>
          <t>Oktober</t>
        </is>
      </c>
      <c r="G81" s="7" t="n">
        <v>22500000</v>
      </c>
      <c r="H81" s="7" t="n">
        <v>17749796.79375</v>
      </c>
      <c r="I81" s="8">
        <f>G81-H81</f>
        <v/>
      </c>
      <c r="J81" s="6" t="n">
        <v>2</v>
      </c>
      <c r="K81" s="7">
        <f>I81/MAX(1, J81)</f>
        <v/>
      </c>
      <c r="L81" t="inlineStr">
        <is>
          <t>🟢 Saldo i balanse (God kontroll)</t>
        </is>
      </c>
      <c r="M81" s="6" t="inlineStr">
        <is>
          <t>GREEN</t>
        </is>
      </c>
    </row>
    <row r="82">
      <c r="A82" s="9" t="inlineStr">
        <is>
          <t>KOMSKOLE</t>
        </is>
      </c>
      <c r="B82" s="10" t="inlineStr">
        <is>
          <t>Trond Jensen</t>
        </is>
      </c>
      <c r="C82" s="10" t="inlineStr">
        <is>
          <t>Rektor</t>
        </is>
      </c>
      <c r="D82" s="10" t="inlineStr">
        <is>
          <t>OPPVEKST</t>
        </is>
      </c>
      <c r="E82" s="10" t="inlineStr">
        <is>
          <t>Kommunal Grunnskole (Legacy)</t>
        </is>
      </c>
      <c r="F82" s="9" t="inlineStr">
        <is>
          <t>Oktober</t>
        </is>
      </c>
      <c r="G82" s="11" t="n">
        <v>22500000</v>
      </c>
      <c r="H82" s="11" t="n">
        <v>17749796.79375</v>
      </c>
      <c r="I82" s="12">
        <f>G82-H82</f>
        <v/>
      </c>
      <c r="J82" s="9" t="n">
        <v>2</v>
      </c>
      <c r="K82" s="11">
        <f>I82/MAX(1, J82)</f>
        <v/>
      </c>
      <c r="L82" s="10" t="inlineStr">
        <is>
          <t>🟢 Saldo i balanse (God kontroll)</t>
        </is>
      </c>
      <c r="M82" s="9" t="inlineStr">
        <is>
          <t>GREEN</t>
        </is>
      </c>
    </row>
    <row r="83">
      <c r="A83" s="6" t="inlineStr">
        <is>
          <t>1110-ENH-501</t>
        </is>
      </c>
      <c r="B83" t="inlineStr">
        <is>
          <t>Kenneth Dale</t>
        </is>
      </c>
      <c r="C83" t="inlineStr">
        <is>
          <t>IKT Driftssjef Brukerstøtte</t>
        </is>
      </c>
      <c r="D83" t="inlineStr">
        <is>
          <t>ORG_TEK</t>
        </is>
      </c>
      <c r="E83" t="inlineStr">
        <is>
          <t>IKT Brukerstøtte &amp; Applikasjonsdrift</t>
        </is>
      </c>
      <c r="F83" s="6" t="inlineStr">
        <is>
          <t>Oktober</t>
        </is>
      </c>
      <c r="G83" s="7" t="n">
        <v>22500000</v>
      </c>
      <c r="H83" s="7" t="n">
        <v>17749796.79375</v>
      </c>
      <c r="I83" s="8">
        <f>G83-H83</f>
        <v/>
      </c>
      <c r="J83" s="6" t="n">
        <v>2</v>
      </c>
      <c r="K83" s="7">
        <f>I83/MAX(1, J83)</f>
        <v/>
      </c>
      <c r="L83" t="inlineStr">
        <is>
          <t>🟢 Saldo i balanse (God kontroll)</t>
        </is>
      </c>
      <c r="M83" s="6" t="inlineStr">
        <is>
          <t>GREEN</t>
        </is>
      </c>
    </row>
    <row r="84">
      <c r="A84" s="9" t="inlineStr">
        <is>
          <t>1120-ENH-506</t>
        </is>
      </c>
      <c r="B84" s="10" t="inlineStr">
        <is>
          <t>Frank Ellingsen</t>
        </is>
      </c>
      <c r="C84" s="10" t="inlineStr">
        <is>
          <t>Fagansvarlig AI &amp; Innovasjon</t>
        </is>
      </c>
      <c r="D84" s="10" t="inlineStr">
        <is>
          <t>ORG_TEK</t>
        </is>
      </c>
      <c r="E84" s="10" t="inlineStr">
        <is>
          <t>Digital Innovasjon &amp; AI-Lab</t>
        </is>
      </c>
      <c r="F84" s="9" t="inlineStr">
        <is>
          <t>Oktober</t>
        </is>
      </c>
      <c r="G84" s="11" t="n">
        <v>22500000</v>
      </c>
      <c r="H84" s="11" t="n">
        <v>17749796.79375</v>
      </c>
      <c r="I84" s="12">
        <f>G84-H84</f>
        <v/>
      </c>
      <c r="J84" s="9" t="n">
        <v>2</v>
      </c>
      <c r="K84" s="11">
        <f>I84/MAX(1, J84)</f>
        <v/>
      </c>
      <c r="L84" s="10" t="inlineStr">
        <is>
          <t>🟢 Saldo i balanse (God kontroll)</t>
        </is>
      </c>
      <c r="M84" s="9" t="inlineStr">
        <is>
          <t>GREEN</t>
        </is>
      </c>
    </row>
    <row r="85">
      <c r="A85" s="6" t="inlineStr">
        <is>
          <t>1200-ENH-502</t>
        </is>
      </c>
      <c r="B85" t="inlineStr">
        <is>
          <t>Tove Simonsen</t>
        </is>
      </c>
      <c r="C85" t="inlineStr">
        <is>
          <t>Personalsjef / HR-sjef</t>
        </is>
      </c>
      <c r="D85" t="inlineStr">
        <is>
          <t>ORG_TEK</t>
        </is>
      </c>
      <c r="E85" t="inlineStr">
        <is>
          <t>HR og Arbeidsgiverpolitikk</t>
        </is>
      </c>
      <c r="F85" s="6" t="inlineStr">
        <is>
          <t>Oktober</t>
        </is>
      </c>
      <c r="G85" s="7" t="n">
        <v>22500000</v>
      </c>
      <c r="H85" s="7" t="n">
        <v>17749796.79375</v>
      </c>
      <c r="I85" s="8">
        <f>G85-H85</f>
        <v/>
      </c>
      <c r="J85" s="6" t="n">
        <v>2</v>
      </c>
      <c r="K85" s="7">
        <f>I85/MAX(1, J85)</f>
        <v/>
      </c>
      <c r="L85" t="inlineStr">
        <is>
          <t>🟢 Saldo i balanse (God kontroll)</t>
        </is>
      </c>
      <c r="M85" s="6" t="inlineStr">
        <is>
          <t>GREEN</t>
        </is>
      </c>
    </row>
    <row r="86">
      <c r="A86" s="9" t="inlineStr">
        <is>
          <t>1210-ENH-503</t>
        </is>
      </c>
      <c r="B86" s="10" t="inlineStr">
        <is>
          <t>Hege Holmen</t>
        </is>
      </c>
      <c r="C86" s="10" t="inlineStr">
        <is>
          <t>Enhetsleder OU</t>
        </is>
      </c>
      <c r="D86" s="10" t="inlineStr">
        <is>
          <t>ORG_TEK</t>
        </is>
      </c>
      <c r="E86" s="10" t="inlineStr">
        <is>
          <t>Organisasjonsutvikling og Kompetanse</t>
        </is>
      </c>
      <c r="F86" s="9" t="inlineStr">
        <is>
          <t>Oktober</t>
        </is>
      </c>
      <c r="G86" s="11" t="n">
        <v>22500000</v>
      </c>
      <c r="H86" s="11" t="n">
        <v>17749796.79375</v>
      </c>
      <c r="I86" s="12">
        <f>G86-H86</f>
        <v/>
      </c>
      <c r="J86" s="9" t="n">
        <v>2</v>
      </c>
      <c r="K86" s="11">
        <f>I86/MAX(1, J86)</f>
        <v/>
      </c>
      <c r="L86" s="10" t="inlineStr">
        <is>
          <t>🟢 Saldo i balanse (God kontroll)</t>
        </is>
      </c>
      <c r="M86" s="9" t="inlineStr">
        <is>
          <t>GREEN</t>
        </is>
      </c>
    </row>
    <row r="87">
      <c r="A87" s="6" t="inlineStr">
        <is>
          <t>1300-ENH-504</t>
        </is>
      </c>
      <c r="B87" t="inlineStr">
        <is>
          <t>Ingeborg Aas</t>
        </is>
      </c>
      <c r="C87" t="inlineStr">
        <is>
          <t>Kommunikasjonssjef</t>
        </is>
      </c>
      <c r="D87" t="inlineStr">
        <is>
          <t>ORG_TEK</t>
        </is>
      </c>
      <c r="E87" t="inlineStr">
        <is>
          <t>Kommunikasjon, Presse og Mediekontakt</t>
        </is>
      </c>
      <c r="F87" s="6" t="inlineStr">
        <is>
          <t>Oktober</t>
        </is>
      </c>
      <c r="G87" s="7" t="n">
        <v>22500000</v>
      </c>
      <c r="H87" s="7" t="n">
        <v>17749796.79375</v>
      </c>
      <c r="I87" s="8">
        <f>G87-H87</f>
        <v/>
      </c>
      <c r="J87" s="6" t="n">
        <v>2</v>
      </c>
      <c r="K87" s="7">
        <f>I87/MAX(1, J87)</f>
        <v/>
      </c>
      <c r="L87" t="inlineStr">
        <is>
          <t>🟢 Saldo i balanse (God kontroll)</t>
        </is>
      </c>
      <c r="M87" s="6" t="inlineStr">
        <is>
          <t>GREEN</t>
        </is>
      </c>
    </row>
    <row r="88">
      <c r="A88" s="9" t="inlineStr">
        <is>
          <t>1400-ENH-505</t>
        </is>
      </c>
      <c r="B88" s="10" t="inlineStr">
        <is>
          <t>Magne Håland</t>
        </is>
      </c>
      <c r="C88" s="10" t="inlineStr">
        <is>
          <t>Bystyresekretær / Juridisk sjef</t>
        </is>
      </c>
      <c r="D88" s="10" t="inlineStr">
        <is>
          <t>ORG_TEK</t>
        </is>
      </c>
      <c r="E88" s="10" t="inlineStr">
        <is>
          <t>Politisk Sekretariat og Juridisk Kontor</t>
        </is>
      </c>
      <c r="F88" s="9" t="inlineStr">
        <is>
          <t>Oktober</t>
        </is>
      </c>
      <c r="G88" s="11" t="n">
        <v>22500000</v>
      </c>
      <c r="H88" s="11" t="n">
        <v>17749796.79375</v>
      </c>
      <c r="I88" s="12">
        <f>G88-H88</f>
        <v/>
      </c>
      <c r="J88" s="9" t="n">
        <v>2</v>
      </c>
      <c r="K88" s="11">
        <f>I88/MAX(1, J88)</f>
        <v/>
      </c>
      <c r="L88" s="10" t="inlineStr">
        <is>
          <t>🟢 Saldo i balanse (God kontroll)</t>
        </is>
      </c>
      <c r="M88" s="9" t="inlineStr">
        <is>
          <t>GREEN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2026-10-19T18:44:01Z</dcterms:created>
  <dcterms:modified xmlns:dcterms="http://purl.org/dc/terms/" xmlns:xsi="http://www.w3.org/2001/XMLSchema-instance" xsi:type="dcterms:W3CDTF">2026-10-19T18:44:01Z</dcterms:modified>
</cp:coreProperties>
</file>