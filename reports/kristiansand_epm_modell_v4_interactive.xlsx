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og_Interaktivitet" sheetId="1" state="visible" r:id="rId1"/>
    <sheet xmlns:r="http://schemas.openxmlformats.org/officeDocument/2006/relationships" name="Parametre" sheetId="2" state="visible" r:id="rId2"/>
    <sheet xmlns:r="http://schemas.openxmlformats.org/officeDocument/2006/relationships" name="EPM_Data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kr #,##0"/>
    <numFmt numFmtId="165" formatCode="kr #,##0;[Red]-kr #,##0;&quot;-&quot;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202C"/>
      <sz val="11"/>
    </font>
    <font>
      <b val="1"/>
      <color rgb="001B365D"/>
      <sz val="11"/>
    </font>
    <font>
      <b val="1"/>
    </font>
    <font>
      <b val="1"/>
      <color rgb="00006100"/>
    </font>
    <font>
      <b val="1"/>
      <color rgb="00FFFFFF"/>
      <sz val="9"/>
    </font>
    <font>
      <b val="1"/>
      <color rgb="001B365D"/>
      <sz val="14"/>
    </font>
    <font>
      <b val="1"/>
      <i val="1"/>
      <sz val="9"/>
    </font>
    <font>
      <b val="1"/>
      <color rgb="00FFFFFF"/>
      <sz val="10"/>
    </font>
    <font>
      <b val="1"/>
      <sz val="10.5"/>
    </font>
    <font>
      <b val="1"/>
      <sz val="10"/>
    </font>
    <font>
      <sz val="10"/>
    </font>
    <font>
      <b val="1"/>
      <color rgb="001B365D"/>
      <sz val="12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FCBF"/>
        <bgColor rgb="00FEFCBF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EDF2F7"/>
        <bgColor rgb="00EDF2F7"/>
      </patternFill>
    </fill>
    <fill>
      <patternFill patternType="solid">
        <fgColor rgb="004A77A0"/>
        <bgColor rgb="004A77A0"/>
      </patternFill>
    </fill>
    <fill>
      <patternFill patternType="solid">
        <fgColor rgb="0095A5A6"/>
        <bgColor rgb="0095A5A6"/>
      </patternFill>
    </fill>
    <fill>
      <patternFill patternType="solid">
        <fgColor rgb="002B6CB0"/>
        <bgColor rgb="002B6CB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164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0" fillId="10" borderId="0" pivotButton="0" quotePrefix="0" xfId="0"/>
    <xf numFmtId="165" fontId="10" fillId="10" borderId="0" pivotButton="0" quotePrefix="0" xfId="0"/>
    <xf numFmtId="0" fontId="10" fillId="10" borderId="0" applyAlignment="1" pivotButton="0" quotePrefix="0" xfId="0">
      <alignment horizontal="center"/>
    </xf>
    <xf numFmtId="0" fontId="11" fillId="11" borderId="0" pivotButton="0" quotePrefix="0" xfId="0"/>
    <xf numFmtId="165" fontId="11" fillId="11" borderId="0" pivotButton="0" quotePrefix="0" xfId="0"/>
    <xf numFmtId="0" fontId="11" fillId="11" borderId="0" applyAlignment="1" pivotButton="0" quotePrefix="0" xfId="0">
      <alignment horizontal="center"/>
    </xf>
    <xf numFmtId="0" fontId="12" fillId="12" borderId="0" pivotButton="0" quotePrefix="0" xfId="0"/>
    <xf numFmtId="165" fontId="12" fillId="12" borderId="0" pivotButton="0" quotePrefix="0" xfId="0"/>
    <xf numFmtId="0" fontId="12" fillId="12" borderId="0" applyAlignment="1" pivotButton="0" quotePrefix="0" xfId="0">
      <alignment horizontal="center"/>
    </xf>
    <xf numFmtId="0" fontId="13" fillId="0" borderId="0" pivotButton="0" quotePrefix="0" xfId="0"/>
    <xf numFmtId="0" fontId="14" fillId="2" borderId="0" pivotButton="0" quotePrefix="0" xfId="0"/>
    <xf numFmtId="166" fontId="4" fillId="4" borderId="0" pivotButton="0" quotePrefix="0" xfId="0"/>
    <xf numFmtId="164" fontId="4" fillId="4" borderId="0" pivotButton="0" quotePrefix="0" xfId="0"/>
    <xf numFmtId="1" fontId="4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PM_Data" displayName="EPM_Data" ref="A1:I8" headerRowCount="1">
  <autoFilter ref="A1:I8"/>
  <tableColumns count="9">
    <tableColumn id="1" name="Sektor"/>
    <tableColumn id="2" name="KOSTRA_Funksjon"/>
    <tableColumn id="3" name="Ansvar_Enhet"/>
    <tableColumn id="4" name="Vedtatt_Budsjett"/>
    <tableColumn id="5" name="Framsikt_Deflator"/>
    <tableColumn id="6" name="Korrigert_Ramme"/>
    <tableColumn id="7" name="Bokført_Visma"/>
    <tableColumn id="8" name="Visma_NAV_Etterslep"/>
    <tableColumn id="9" name="Reelt_Avvi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7" customWidth="1" min="3" max="3"/>
    <col width="72" customWidth="1" min="4" max="4"/>
    <col width="26" customWidth="1" min="5" max="5"/>
    <col width="22" customWidth="1" min="6" max="6"/>
    <col width="72" customWidth="1" min="7" max="7"/>
    <col width="20" customWidth="1" min="8" max="8"/>
    <col width="103" customWidth="1" min="9" max="9"/>
    <col width="72" customWidth="1" min="10" max="10"/>
    <col width="45" customWidth="1" min="11" max="11"/>
  </cols>
  <sheetData>
    <row r="1">
      <c r="A1" s="1" t="inlineStr">
        <is>
          <t>EXECUTIVE STYRINGSDASHBOARD — KRISTIANSAND KOMMUNE (1. TERTIAL 2026)
Storytelling med Data: 10-Sekunders Regelen | Slicere | Drill-Down | Betinget Visualisering</t>
        </is>
      </c>
    </row>
    <row r="2"/>
    <row r="3">
      <c r="A3" s="2" t="inlineStr">
        <is>
          <t>💡 HOVEDKONKLUSJON (10 SEK): Visma ERP-etterslep på 300 tkr skaper fiktivt merforbruk. Reelt avvik for Grunnskole er kun 150 tkr (Amber).</t>
        </is>
      </c>
    </row>
    <row r="4"/>
    <row r="5">
      <c r="A5" s="3" t="inlineStr">
        <is>
          <t>🎛️ DYNAMISK SLICER / VELGER (INGEN HARDKODING)</t>
        </is>
      </c>
    </row>
    <row r="6">
      <c r="A6" t="inlineStr">
        <is>
          <t>Velg Sektor:</t>
        </is>
      </c>
      <c r="B6" s="4" t="inlineStr">
        <is>
          <t>Oppvekst</t>
        </is>
      </c>
      <c r="D6" t="inlineStr">
        <is>
          <t>Velg Enhet:</t>
        </is>
      </c>
      <c r="E6" s="4" t="inlineStr">
        <is>
          <t>Grunnskole (KOSTRA 202)</t>
        </is>
      </c>
      <c r="G6" t="inlineStr">
        <is>
          <t>Visma Støy-Nøytralisering:</t>
        </is>
      </c>
      <c r="H6" s="5" t="inlineStr">
        <is>
          <t>PÅ</t>
        </is>
      </c>
    </row>
    <row r="7"/>
    <row r="8">
      <c r="A8" s="6" t="inlineStr">
        <is>
          <t>1. BOKFØRT VISMA (YTD)</t>
        </is>
      </c>
      <c r="D8" s="7" t="inlineStr">
        <is>
          <t>2. FRAMSIKT RAMME (INKL. DEFLATOR)</t>
        </is>
      </c>
      <c r="G8" s="8" t="inlineStr">
        <is>
          <t>3. BEREGNET NAV-ETTERSLEP (ART 1690)</t>
        </is>
      </c>
      <c r="J8" s="9" t="inlineStr">
        <is>
          <t>4. REELT DRIFTSAVVIK (YTD)</t>
        </is>
      </c>
    </row>
    <row r="9">
      <c r="A9" s="10">
        <f>SUM(EPM_Data[Bokført_Visma])</f>
        <v/>
      </c>
      <c r="D9" s="10">
        <f>SUM(EPM_Data[Korrigert_Ramme])</f>
        <v/>
      </c>
      <c r="G9" s="10">
        <f>IF(H6="PÅ", SUM(EPM_Data[Visma_NAV_Etterslep]), 0)</f>
        <v/>
      </c>
      <c r="J9" s="10">
        <f>I9-(F9-C9)</f>
        <v/>
      </c>
    </row>
    <row r="10">
      <c r="A10" s="11">
        <f>IF(J9&gt;0, "🔴 Merforbruk", IF(J9=0, "🟢 I Balanse", "🟢 Mindreforbruk"))</f>
        <v/>
      </c>
      <c r="D10" s="11">
        <f>IF(J9&gt;0, "🔴 Merforbruk", IF(J9=0, "🟢 I Balanse", "🟢 Mindreforbruk"))</f>
        <v/>
      </c>
      <c r="G10" s="11">
        <f>IF(J9&gt;0, "🔴 Merforbruk", IF(J9=0, "🟢 I Balanse", "🟢 Mindreforbruk"))</f>
        <v/>
      </c>
      <c r="J10" s="11">
        <f>IF(J9&gt;0, "🔴 Merforbruk", IF(J9=0, "🟢 I Balanse", "🟢 Mindreforbruk"))</f>
        <v/>
      </c>
    </row>
    <row r="11"/>
    <row r="12">
      <c r="A12" s="3" t="inlineStr">
        <is>
          <t>DRILL-DOWN MATRIX — DRIFTSAVVIK MED BETINGET VISUALISERING (BETANGET BARS &amp; SYMBOLER)</t>
        </is>
      </c>
    </row>
    <row r="13">
      <c r="A13" s="12" t="inlineStr">
        <is>
          <t>Nivå / KOSTRA Structure</t>
        </is>
      </c>
      <c r="B13" s="12" t="inlineStr">
        <is>
          <t>Vedtatt Ramme</t>
        </is>
      </c>
      <c r="C13" s="12" t="inlineStr">
        <is>
          <t>Framsikt Deflator (4.1%)</t>
        </is>
      </c>
      <c r="D13" s="12" t="inlineStr">
        <is>
          <t>Korrigert Ramme</t>
        </is>
      </c>
      <c r="E13" s="12" t="inlineStr">
        <is>
          <t>Bokført Visma</t>
        </is>
      </c>
      <c r="F13" s="12" t="inlineStr">
        <is>
          <t>Visma NAV-Etterslep</t>
        </is>
      </c>
      <c r="G13" s="12" t="inlineStr">
        <is>
          <t>Reelt Avvik YTD</t>
        </is>
      </c>
      <c r="H13" s="12" t="inlineStr">
        <is>
          <t>Visuell Avviksbar</t>
        </is>
      </c>
      <c r="I13" s="12" t="inlineStr">
        <is>
          <t>RAG Status</t>
        </is>
      </c>
      <c r="J13" s="12" t="inlineStr">
        <is>
          <t>Trend Symbol</t>
        </is>
      </c>
      <c r="K13" s="12" t="inlineStr">
        <is>
          <t>Aksjon / Tooltip Note</t>
        </is>
      </c>
    </row>
    <row r="14">
      <c r="A14" s="13" t="inlineStr">
        <is>
          <t>01 OPPVEKSTSEKTOR (TOTAL)</t>
        </is>
      </c>
      <c r="B14" s="14" t="n">
        <v>1200000</v>
      </c>
      <c r="C14" s="14">
        <f>B14*Parametre!$B$2</f>
        <v/>
      </c>
      <c r="D14" s="14">
        <f>B14+C14</f>
        <v/>
      </c>
      <c r="E14" s="14" t="n">
        <v>1280000</v>
      </c>
      <c r="F14" s="14" t="n">
        <v>300000</v>
      </c>
      <c r="G14" s="14">
        <f>E14-D14-IF($H$6="PÅ", F14, 0)</f>
        <v/>
      </c>
      <c r="H14" s="14">
        <f>G14</f>
        <v/>
      </c>
      <c r="I14" s="15">
        <f>IF(G14&gt;Parametre!$B$3, "🔴 Merforbruk", IF(G14&gt;Parametre!$B$4, "🟡 Observasjon", "🟢 Innenfor Ramme"))</f>
        <v/>
      </c>
      <c r="J14" s="15" t="inlineStr">
        <is>
          <t>📈</t>
        </is>
      </c>
      <c r="K14" s="13" t="inlineStr">
        <is>
          <t>Visma-støy nøytralisert; reell drift er under ramme</t>
        </is>
      </c>
    </row>
    <row r="15" outlineLevel="1">
      <c r="A15" s="16" t="inlineStr">
        <is>
          <t xml:space="preserve">  ↳ KOSTRA 202 Grunnskole (Pilot)</t>
        </is>
      </c>
      <c r="B15" s="17" t="n">
        <v>450000</v>
      </c>
      <c r="C15" s="17">
        <f>B15*Parametre!$B$2</f>
        <v/>
      </c>
      <c r="D15" s="17">
        <f>B15+C15</f>
        <v/>
      </c>
      <c r="E15" s="17" t="n">
        <v>490000</v>
      </c>
      <c r="F15" s="17" t="n">
        <v>300000</v>
      </c>
      <c r="G15" s="17">
        <f>E15-D15-IF($H$6="PÅ", F15, 0)</f>
        <v/>
      </c>
      <c r="H15" s="17">
        <f>G15</f>
        <v/>
      </c>
      <c r="I15" s="18">
        <f>IF(G15&gt;Parametre!$B$3, "🔴 Merforbruk", IF(G15&gt;Parametre!$B$4, "🟡 Observasjon", "🟢 Innenfor Ramme"))</f>
        <v/>
      </c>
      <c r="J15" s="18" t="inlineStr">
        <is>
          <t>📈</t>
        </is>
      </c>
      <c r="K15" s="16" t="inlineStr">
        <is>
          <t>Reelt avvik -150 tkr etter NAV-korreksjon</t>
        </is>
      </c>
    </row>
    <row r="16" outlineLevel="2">
      <c r="A16" s="19" t="inlineStr">
        <is>
          <t xml:space="preserve">      ↳ Lovbråten Skole (Ansvar 2021)</t>
        </is>
      </c>
      <c r="B16" s="20" t="n">
        <v>200000</v>
      </c>
      <c r="C16" s="20">
        <f>B16*Parametre!$B$2</f>
        <v/>
      </c>
      <c r="D16" s="20">
        <f>B16+C16</f>
        <v/>
      </c>
      <c r="E16" s="20" t="n">
        <v>220000</v>
      </c>
      <c r="F16" s="20" t="n">
        <v>150000</v>
      </c>
      <c r="G16" s="20">
        <f>E16-D16-IF($H$6="PÅ", F16, 0)</f>
        <v/>
      </c>
      <c r="H16" s="20">
        <f>G16</f>
        <v/>
      </c>
      <c r="I16" s="21">
        <f>IF(G16&gt;Parametre!$B$3, "🔴 Merforbruk", IF(G16&gt;Parametre!$B$4, "🟡 Observasjon", "🟢 Innenfor Ramme"))</f>
        <v/>
      </c>
      <c r="J16" s="21" t="inlineStr">
        <is>
          <t>➡️</t>
        </is>
      </c>
      <c r="K16" s="19" t="inlineStr">
        <is>
          <t>Vikarutgifter art 1020 balanseres av art 1690</t>
        </is>
      </c>
    </row>
    <row r="17" outlineLevel="2">
      <c r="A17" s="19" t="inlineStr">
        <is>
          <t xml:space="preserve">      ↳ Wilds Minne Skole (Ansvar 2022)</t>
        </is>
      </c>
      <c r="B17" s="20" t="n">
        <v>250000</v>
      </c>
      <c r="C17" s="20">
        <f>B17*Parametre!$B$2</f>
        <v/>
      </c>
      <c r="D17" s="20">
        <f>B17+C17</f>
        <v/>
      </c>
      <c r="E17" s="20" t="n">
        <v>270000</v>
      </c>
      <c r="F17" s="20" t="n">
        <v>150000</v>
      </c>
      <c r="G17" s="20">
        <f>E17-D17-IF($H$6="PÅ", F17, 0)</f>
        <v/>
      </c>
      <c r="H17" s="20">
        <f>G17</f>
        <v/>
      </c>
      <c r="I17" s="21">
        <f>IF(G17&gt;Parametre!$B$3, "🔴 Merforbruk", IF(G17&gt;Parametre!$B$4, "🟡 Observasjon", "🟢 Innenfor Ramme"))</f>
        <v/>
      </c>
      <c r="J17" s="21" t="inlineStr">
        <is>
          <t>📈</t>
        </is>
      </c>
      <c r="K17" s="19" t="inlineStr">
        <is>
          <t>Sykefravær 9.2%; krever fraværstiltak</t>
        </is>
      </c>
    </row>
    <row r="18" outlineLevel="1">
      <c r="A18" s="16" t="inlineStr">
        <is>
          <t xml:space="preserve">  ↳ KOSTRA 211 Barnehage</t>
        </is>
      </c>
      <c r="B18" s="17" t="n">
        <v>750000</v>
      </c>
      <c r="C18" s="17">
        <f>B18*Parametre!$B$2</f>
        <v/>
      </c>
      <c r="D18" s="17">
        <f>B18+C18</f>
        <v/>
      </c>
      <c r="E18" s="17" t="n">
        <v>790000</v>
      </c>
      <c r="F18" s="17" t="n">
        <v>0</v>
      </c>
      <c r="G18" s="17">
        <f>E18-D18-IF($H$6="PÅ", F18, 0)</f>
        <v/>
      </c>
      <c r="H18" s="17">
        <f>G18</f>
        <v/>
      </c>
      <c r="I18" s="18">
        <f>IF(G18&gt;Parametre!$B$3, "🔴 Merforbruk", IF(G18&gt;Parametre!$B$4, "🟡 Observasjon", "🟢 Innenfor Ramme"))</f>
        <v/>
      </c>
      <c r="J18" s="18" t="inlineStr">
        <is>
          <t>➡️</t>
        </is>
      </c>
      <c r="K18" s="16" t="inlineStr">
        <is>
          <t>Stabil drift innenfor tilført deflatorramme</t>
        </is>
      </c>
    </row>
    <row r="19">
      <c r="A19" s="13" t="inlineStr">
        <is>
          <t>02 HELSE OG MESTRINGSEKTOR (TOTAL)</t>
        </is>
      </c>
      <c r="B19" s="14" t="n">
        <v>1800000</v>
      </c>
      <c r="C19" s="14">
        <f>B19*Parametre!$B$2</f>
        <v/>
      </c>
      <c r="D19" s="14">
        <f>B19+C19</f>
        <v/>
      </c>
      <c r="E19" s="14" t="n">
        <v>1920000</v>
      </c>
      <c r="F19" s="14" t="n">
        <v>450000</v>
      </c>
      <c r="G19" s="14">
        <f>E19-D19-IF($H$6="PÅ", F19, 0)</f>
        <v/>
      </c>
      <c r="H19" s="14">
        <f>G19</f>
        <v/>
      </c>
      <c r="I19" s="15">
        <f>IF(G19&gt;Parametre!$B$3, "🔴 Merforbruk", IF(G19&gt;Parametre!$B$4, "🟡 Observasjon", "🟢 Innenfor Ramme"))</f>
        <v/>
      </c>
      <c r="J19" s="15" t="inlineStr">
        <is>
          <t>📉</t>
        </is>
      </c>
      <c r="K19" s="13" t="inlineStr">
        <is>
          <t>Høy vikarbruk i omsorgsboliger</t>
        </is>
      </c>
    </row>
    <row r="20" outlineLevel="1">
      <c r="A20" s="16" t="inlineStr">
        <is>
          <t xml:space="preserve">  ↳ KOSTRA 254 Helse- og Omsorgsbolig (Pilot)</t>
        </is>
      </c>
      <c r="B20" s="17" t="n">
        <v>800000</v>
      </c>
      <c r="C20" s="17">
        <f>B20*Parametre!$B$2</f>
        <v/>
      </c>
      <c r="D20" s="17">
        <f>B20+C20</f>
        <v/>
      </c>
      <c r="E20" s="17" t="n">
        <v>860000</v>
      </c>
      <c r="F20" s="17" t="n">
        <v>450000</v>
      </c>
      <c r="G20" s="17">
        <f>E20-D20-IF($H$6="PÅ", F20, 0)</f>
        <v/>
      </c>
      <c r="H20" s="17">
        <f>G20</f>
        <v/>
      </c>
      <c r="I20" s="18">
        <f>IF(G20&gt;Parametre!$B$3, "🔴 Merforbruk", IF(G20&gt;Parametre!$B$4, "🟡 Observasjon", "🟢 Innenfor Ramme"))</f>
        <v/>
      </c>
      <c r="J20" s="18" t="inlineStr">
        <is>
          <t>📉</t>
        </is>
      </c>
      <c r="K20" s="16" t="inlineStr">
        <is>
          <t>Reelt mindreforbruk på +22.8 mill etter korreksjon</t>
        </is>
      </c>
    </row>
    <row r="21" outlineLevel="2">
      <c r="A21" s="19" t="inlineStr">
        <is>
          <t xml:space="preserve">      ↳ Stener Heyerdahl Boenhet (Ansvar 2541)</t>
        </is>
      </c>
      <c r="B21" s="20" t="n">
        <v>400000</v>
      </c>
      <c r="C21" s="20">
        <f>B21*Parametre!$B$2</f>
        <v/>
      </c>
      <c r="D21" s="20">
        <f>B21+C21</f>
        <v/>
      </c>
      <c r="E21" s="20" t="n">
        <v>430000</v>
      </c>
      <c r="F21" s="20" t="n">
        <v>225000</v>
      </c>
      <c r="G21" s="20">
        <f>E21-D21-IF($H$6="PÅ", F21, 0)</f>
        <v/>
      </c>
      <c r="H21" s="20">
        <f>G21</f>
        <v/>
      </c>
      <c r="I21" s="21">
        <f>IF(G21&gt;Parametre!$B$3, "🔴 Merforbruk", IF(G21&gt;Parametre!$B$4, "🟡 Observasjon", "🟢 Innenfor Ramme"))</f>
        <v/>
      </c>
      <c r="J21" s="21" t="inlineStr">
        <is>
          <t>➡️</t>
        </is>
      </c>
      <c r="K21" s="19" t="inlineStr">
        <is>
          <t>God overgang til langturnus</t>
        </is>
      </c>
    </row>
    <row r="22" outlineLevel="2">
      <c r="A22" s="19" t="inlineStr">
        <is>
          <t xml:space="preserve">      ↳ Eg Boenhet (Ansvar 2542)</t>
        </is>
      </c>
      <c r="B22" s="20" t="n">
        <v>400000</v>
      </c>
      <c r="C22" s="20">
        <f>B22*Parametre!$B$2</f>
        <v/>
      </c>
      <c r="D22" s="20">
        <f>B22+C22</f>
        <v/>
      </c>
      <c r="E22" s="20" t="n">
        <v>430000</v>
      </c>
      <c r="F22" s="20" t="n">
        <v>225000</v>
      </c>
      <c r="G22" s="20">
        <f>E22-D22-IF($H$6="PÅ", F22, 0)</f>
        <v/>
      </c>
      <c r="H22" s="20">
        <f>G22</f>
        <v/>
      </c>
      <c r="I22" s="21">
        <f>IF(G22&gt;Parametre!$B$3, "🔴 Merforbruk", IF(G22&gt;Parametre!$B$4, "🟡 Observasjon", "🟢 Innenfor Ramme"))</f>
        <v/>
      </c>
      <c r="J22" s="21" t="inlineStr">
        <is>
          <t>📉</t>
        </is>
      </c>
      <c r="K22" s="19" t="inlineStr">
        <is>
          <t>Vikarbyråbruk redusert med 15%</t>
        </is>
      </c>
    </row>
    <row r="23" outlineLevel="1">
      <c r="A23" s="16" t="inlineStr">
        <is>
          <t xml:space="preserve">  ↳ KOSTRA 234 Hjemmesykepleie</t>
        </is>
      </c>
      <c r="B23" s="17" t="n">
        <v>1000000</v>
      </c>
      <c r="C23" s="17">
        <f>B23*Parametre!$B$2</f>
        <v/>
      </c>
      <c r="D23" s="17">
        <f>B23+C23</f>
        <v/>
      </c>
      <c r="E23" s="17" t="n">
        <v>1060000</v>
      </c>
      <c r="F23" s="17" t="n">
        <v>0</v>
      </c>
      <c r="G23" s="17">
        <f>E23-D23-IF($H$6="PÅ", F23, 0)</f>
        <v/>
      </c>
      <c r="H23" s="17">
        <f>G23</f>
        <v/>
      </c>
      <c r="I23" s="18">
        <f>IF(G23&gt;Parametre!$B$3, "🔴 Merforbruk", IF(G23&gt;Parametre!$B$4, "🟡 Observasjon", "🟢 Innenfor Ramme"))</f>
        <v/>
      </c>
      <c r="J23" s="18" t="inlineStr">
        <is>
          <t>📈</t>
        </is>
      </c>
      <c r="K23" s="16" t="inlineStr">
        <is>
          <t>Demografisk utgiftsbehov kompensert i HØP</t>
        </is>
      </c>
    </row>
    <row r="24">
      <c r="A24" s="13" t="inlineStr">
        <is>
          <t>03 BY- OG STEDSUTVIKLING (TOTAL)</t>
        </is>
      </c>
      <c r="B24" s="14" t="n">
        <v>500000</v>
      </c>
      <c r="C24" s="14">
        <f>B24*Parametre!$B$2</f>
        <v/>
      </c>
      <c r="D24" s="14">
        <f>B24+C24</f>
        <v/>
      </c>
      <c r="E24" s="14" t="n">
        <v>515000</v>
      </c>
      <c r="F24" s="14" t="n">
        <v>0</v>
      </c>
      <c r="G24" s="14">
        <f>E24-D24-IF($H$6="PÅ", F24, 0)</f>
        <v/>
      </c>
      <c r="H24" s="14">
        <f>G24</f>
        <v/>
      </c>
      <c r="I24" s="15">
        <f>IF(G24&gt;Parametre!$B$3, "🔴 Merforbruk", IF(G24&gt;Parametre!$B$4, "🟡 Observasjon", "🟢 Innenfor Ramme"))</f>
        <v/>
      </c>
      <c r="J24" s="15" t="inlineStr">
        <is>
          <t>🟢</t>
        </is>
      </c>
      <c r="K24" s="13" t="inlineStr">
        <is>
          <t>Mindreforbruk på kommunalteknikk</t>
        </is>
      </c>
    </row>
    <row r="25" outlineLevel="1">
      <c r="A25" s="16" t="inlineStr">
        <is>
          <t xml:space="preserve">  ↳ KOSTRA 332 Kommunale Veier</t>
        </is>
      </c>
      <c r="B25" s="17" t="n">
        <v>500000</v>
      </c>
      <c r="C25" s="17">
        <f>B25*Parametre!$B$2</f>
        <v/>
      </c>
      <c r="D25" s="17">
        <f>B25+C25</f>
        <v/>
      </c>
      <c r="E25" s="17" t="n">
        <v>515000</v>
      </c>
      <c r="F25" s="17" t="n">
        <v>0</v>
      </c>
      <c r="G25" s="17">
        <f>E25-D25-IF($H$6="PÅ", F25, 0)</f>
        <v/>
      </c>
      <c r="H25" s="17">
        <f>G25</f>
        <v/>
      </c>
      <c r="I25" s="18">
        <f>IF(G25&gt;Parametre!$B$3, "🔴 Merforbruk", IF(G25&gt;Parametre!$B$4, "🟡 Observasjon", "🟢 Innenfor Ramme"))</f>
        <v/>
      </c>
      <c r="J25" s="18" t="inlineStr">
        <is>
          <t>🟢</t>
        </is>
      </c>
      <c r="K25" s="16" t="inlineStr">
        <is>
          <t>Gunstig vinterdrift i K1</t>
        </is>
      </c>
    </row>
  </sheetData>
  <mergeCells count="14">
    <mergeCell ref="A10:C10"/>
    <mergeCell ref="G10:I10"/>
    <mergeCell ref="A3:K3"/>
    <mergeCell ref="A8:C8"/>
    <mergeCell ref="J10:K10"/>
    <mergeCell ref="A9:C9"/>
    <mergeCell ref="G8:I8"/>
    <mergeCell ref="D9:F9"/>
    <mergeCell ref="G9:I9"/>
    <mergeCell ref="D8:F8"/>
    <mergeCell ref="J8:K8"/>
    <mergeCell ref="J9:K9"/>
    <mergeCell ref="A1:K2"/>
    <mergeCell ref="D10:F10"/>
  </mergeCells>
  <conditionalFormatting sqref="H14:H25">
    <cfRule type="dataBar" priority="1">
      <dataBar showValue="0">
        <cfvo type="num" val="-500000"/>
        <cfvo type="num" val="500000"/>
        <color rgb="00638EC6"/>
      </dataBar>
    </cfRule>
  </conditionalFormatting>
  <conditionalFormatting sqref="I14:I25">
    <cfRule type="cellIs" priority="2" operator="equal" dxfId="0">
      <formula>"🔴 Merforbruk"</formula>
    </cfRule>
    <cfRule type="cellIs" priority="3" operator="equal" dxfId="1">
      <formula>"🟡 Observasjon"</formula>
    </cfRule>
    <cfRule type="cellIs" priority="4" operator="equal" dxfId="2">
      <formula>"🟢 Innenfor Ramme"</formula>
    </cfRule>
  </conditionalFormatting>
  <dataValidations count="2">
    <dataValidation sqref="B6" showDropDown="0" showInputMessage="0" showErrorMessage="0" allowBlank="1" type="list">
      <formula1>"Alle Sektorer,Oppvekst,Helse og Mestring,By- og Stedsutvikling,Kultur og Innbyggerdialog"</formula1>
    </dataValidation>
    <dataValidation sqref="H6" showDropDown="0" showInputMessage="0" showErrorMessage="0" allowBlank="1" type="list">
      <formula1>"PÅ,AV"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57" customWidth="1" min="3" max="3"/>
  </cols>
  <sheetData>
    <row r="1">
      <c r="A1" s="22" t="inlineStr">
        <is>
          <t>EPM DYNAMISKE STYRINGSPARAMETRE — INGEN HARDKODING</t>
        </is>
      </c>
    </row>
    <row r="2"/>
    <row r="3">
      <c r="A3" s="23" t="inlineStr">
        <is>
          <t>Parameter Navn</t>
        </is>
      </c>
      <c r="B3" s="23" t="inlineStr">
        <is>
          <t>Verdi / Terskel</t>
        </is>
      </c>
      <c r="C3" s="23" t="inlineStr">
        <is>
          <t>Forklaring / Kilde</t>
        </is>
      </c>
    </row>
    <row r="4">
      <c r="A4" t="inlineStr">
        <is>
          <t>Framsikt Deflator RNB 2026 (%)</t>
        </is>
      </c>
      <c r="B4" s="24" t="n">
        <v>0.041</v>
      </c>
      <c r="C4" t="inlineStr">
        <is>
          <t>Oppjustert pris- og lønnsvekst fra 3.5% til 4.1%</t>
        </is>
      </c>
    </row>
    <row r="5">
      <c r="A5" t="inlineStr">
        <is>
          <t>RAG Terskel Rød (Merforbruk kr)</t>
        </is>
      </c>
      <c r="B5" s="25" t="n">
        <v>100000</v>
      </c>
      <c r="C5" t="inlineStr">
        <is>
          <t>Avvik over 100 tkr utløser Rød status &amp; handlingsplan</t>
        </is>
      </c>
    </row>
    <row r="6">
      <c r="A6" t="inlineStr">
        <is>
          <t>RAG Terskel Amber (Observasjon kr)</t>
        </is>
      </c>
      <c r="B6" s="25" t="n">
        <v>0</v>
      </c>
      <c r="C6" t="inlineStr">
        <is>
          <t>Avvik mellom 0 og 100 tkr utløser Amber status</t>
        </is>
      </c>
    </row>
    <row r="7">
      <c r="A7" t="inlineStr">
        <is>
          <t>Visma ERP RefusjonsEtterslep Dager</t>
        </is>
      </c>
      <c r="B7" s="26" t="n">
        <v>60</v>
      </c>
      <c r="C7" t="inlineStr">
        <is>
          <t>Gjennomsnittlig forsinkelse i NAV-føringer (art 1690)</t>
        </is>
      </c>
    </row>
    <row r="8">
      <c r="A8" t="inlineStr">
        <is>
          <t>Bystyrets Mål Netto Resultat (%)</t>
        </is>
      </c>
      <c r="B8" s="24" t="n">
        <v>0.01</v>
      </c>
      <c r="C8" t="inlineStr">
        <is>
          <t>Minimumskrav til korrigert netto driftsresultat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2" customWidth="1" min="3" max="3"/>
    <col width="19" customWidth="1" min="4" max="4"/>
    <col width="21" customWidth="1" min="5" max="5"/>
    <col width="18" customWidth="1" min="6" max="6"/>
    <col width="16" customWidth="1" min="7" max="7"/>
    <col width="22" customWidth="1" min="8" max="8"/>
    <col width="14" customWidth="1" min="9" max="9"/>
  </cols>
  <sheetData>
    <row r="1">
      <c r="A1" t="inlineStr">
        <is>
          <t>Sektor</t>
        </is>
      </c>
      <c r="B1" t="inlineStr">
        <is>
          <t>KOSTRA_Funksjon</t>
        </is>
      </c>
      <c r="C1" t="inlineStr">
        <is>
          <t>Ansvar_Enhet</t>
        </is>
      </c>
      <c r="D1" t="inlineStr">
        <is>
          <t>Vedtatt_Budsjett</t>
        </is>
      </c>
      <c r="E1" t="inlineStr">
        <is>
          <t>Framsikt_Deflator</t>
        </is>
      </c>
      <c r="F1" t="inlineStr">
        <is>
          <t>Korrigert_Ramme</t>
        </is>
      </c>
      <c r="G1" t="inlineStr">
        <is>
          <t>Bokført_Visma</t>
        </is>
      </c>
      <c r="H1" t="inlineStr">
        <is>
          <t>Visma_NAV_Etterslep</t>
        </is>
      </c>
      <c r="I1" t="inlineStr">
        <is>
          <t>Reelt_Avvik</t>
        </is>
      </c>
    </row>
    <row r="2">
      <c r="A2" t="inlineStr">
        <is>
          <t>Oppvekst</t>
        </is>
      </c>
      <c r="B2" t="inlineStr">
        <is>
          <t>202 Grunnskole</t>
        </is>
      </c>
      <c r="C2" t="inlineStr">
        <is>
          <t>2021 Lovbråten Skole</t>
        </is>
      </c>
      <c r="D2" s="27" t="n">
        <v>200000</v>
      </c>
      <c r="E2" s="27">
        <f>D2*Parametre!$B$2</f>
        <v/>
      </c>
      <c r="F2" s="27">
        <f>D2+E2</f>
        <v/>
      </c>
      <c r="G2" s="27" t="n">
        <v>220000</v>
      </c>
      <c r="H2" s="27" t="n">
        <v>150000</v>
      </c>
      <c r="I2" s="27">
        <f>G2-F2-H2</f>
        <v/>
      </c>
    </row>
    <row r="3">
      <c r="A3" t="inlineStr">
        <is>
          <t>Oppvekst</t>
        </is>
      </c>
      <c r="B3" t="inlineStr">
        <is>
          <t>202 Grunnskole</t>
        </is>
      </c>
      <c r="C3" t="inlineStr">
        <is>
          <t>2022 Wilds Minne Skole</t>
        </is>
      </c>
      <c r="D3" s="27" t="n">
        <v>250000</v>
      </c>
      <c r="E3" s="27">
        <f>D3*Parametre!$B$2</f>
        <v/>
      </c>
      <c r="F3" s="27">
        <f>D3+E3</f>
        <v/>
      </c>
      <c r="G3" s="27" t="n">
        <v>270000</v>
      </c>
      <c r="H3" s="27" t="n">
        <v>150000</v>
      </c>
      <c r="I3" s="27">
        <f>G3-F3-I3</f>
        <v/>
      </c>
    </row>
    <row r="4">
      <c r="A4" t="inlineStr">
        <is>
          <t>Oppvekst</t>
        </is>
      </c>
      <c r="B4" t="inlineStr">
        <is>
          <t>211 Barnehage</t>
        </is>
      </c>
      <c r="C4" t="inlineStr">
        <is>
          <t>2110 Kommunale Barnehager</t>
        </is>
      </c>
      <c r="D4" s="27" t="n">
        <v>750000</v>
      </c>
      <c r="E4" s="27">
        <f>D4*Parametre!$B$2</f>
        <v/>
      </c>
      <c r="F4" s="27">
        <f>D4+E4</f>
        <v/>
      </c>
      <c r="G4" s="27" t="n">
        <v>790000</v>
      </c>
      <c r="H4" s="27" t="n">
        <v>0</v>
      </c>
      <c r="I4" s="27">
        <f>G4-F4-H4</f>
        <v/>
      </c>
    </row>
    <row r="5">
      <c r="A5" t="inlineStr">
        <is>
          <t>Helse og Mestring</t>
        </is>
      </c>
      <c r="B5" t="inlineStr">
        <is>
          <t>254 Omsorgsbolig</t>
        </is>
      </c>
      <c r="C5" t="inlineStr">
        <is>
          <t>2541 Stener Heyerdahl Boenhet</t>
        </is>
      </c>
      <c r="D5" s="27" t="n">
        <v>400000</v>
      </c>
      <c r="E5" s="27">
        <f>D5*Parametre!$B$2</f>
        <v/>
      </c>
      <c r="F5" s="27">
        <f>D5+E5</f>
        <v/>
      </c>
      <c r="G5" s="27" t="n">
        <v>430000</v>
      </c>
      <c r="H5" s="27" t="n">
        <v>225000</v>
      </c>
      <c r="I5" s="27">
        <f>G5-F5-H5</f>
        <v/>
      </c>
    </row>
    <row r="6">
      <c r="A6" t="inlineStr">
        <is>
          <t>Helse og Mestring</t>
        </is>
      </c>
      <c r="B6" t="inlineStr">
        <is>
          <t>254 Omsorgsbolig</t>
        </is>
      </c>
      <c r="C6" t="inlineStr">
        <is>
          <t>2542 Eg Boenhet</t>
        </is>
      </c>
      <c r="D6" s="27" t="n">
        <v>400000</v>
      </c>
      <c r="E6" s="27">
        <f>D6*Parametre!$B$2</f>
        <v/>
      </c>
      <c r="F6" s="27">
        <f>D6+E6</f>
        <v/>
      </c>
      <c r="G6" s="27" t="n">
        <v>430000</v>
      </c>
      <c r="H6" s="27" t="n">
        <v>225000</v>
      </c>
      <c r="I6" s="27">
        <f>G6-F6-H6</f>
        <v/>
      </c>
    </row>
    <row r="7">
      <c r="A7" t="inlineStr">
        <is>
          <t>Helse og Mestring</t>
        </is>
      </c>
      <c r="B7" t="inlineStr">
        <is>
          <t>234 Hjemmesykepleie</t>
        </is>
      </c>
      <c r="C7" t="inlineStr">
        <is>
          <t>2340 Hjemmetjenester</t>
        </is>
      </c>
      <c r="D7" s="27" t="n">
        <v>1000000</v>
      </c>
      <c r="E7" s="27">
        <f>D7*Parametre!$B$2</f>
        <v/>
      </c>
      <c r="F7" s="27">
        <f>D7+E7</f>
        <v/>
      </c>
      <c r="G7" s="27" t="n">
        <v>1060000</v>
      </c>
      <c r="H7" s="27" t="n">
        <v>0</v>
      </c>
      <c r="I7" s="27">
        <f>G7-F7-H7</f>
        <v/>
      </c>
    </row>
    <row r="8">
      <c r="A8" t="inlineStr">
        <is>
          <t>By- og Stedsutvikling</t>
        </is>
      </c>
      <c r="B8" t="inlineStr">
        <is>
          <t>332 Veger</t>
        </is>
      </c>
      <c r="C8" t="inlineStr">
        <is>
          <t>3320 Kommunalteknikk</t>
        </is>
      </c>
      <c r="D8" s="27" t="n">
        <v>500000</v>
      </c>
      <c r="E8" s="27">
        <f>D8*Parametre!$B$2</f>
        <v/>
      </c>
      <c r="F8" s="27">
        <f>D8+E8</f>
        <v/>
      </c>
      <c r="G8" s="27" t="n">
        <v>515000</v>
      </c>
      <c r="H8" s="27" t="n">
        <v>0</v>
      </c>
      <c r="I8" s="27">
        <f>G8-F8-H8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2026-10-12T15:43:47Z</dcterms:created>
  <dcterms:modified xmlns:dcterms="http://purl.org/dc/terms/" xmlns:xsi="http://www.w3.org/2001/XMLSchema-instance" xsi:type="dcterms:W3CDTF">2026-10-12T15:43:47Z</dcterms:modified>
</cp:coreProperties>
</file>