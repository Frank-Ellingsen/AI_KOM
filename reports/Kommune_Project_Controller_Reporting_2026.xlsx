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ashboard" sheetId="1" state="visible" r:id="rId1"/>
    <sheet xmlns:r="http://schemas.openxmlformats.org/officeDocument/2006/relationships" name="Tertialrapport_T2" sheetId="2" state="visible" r:id="rId2"/>
    <sheet xmlns:r="http://schemas.openxmlformats.org/officeDocument/2006/relationships" name="Prosjektkontroll_EVM" sheetId="3" state="visible" r:id="rId3"/>
    <sheet xmlns:r="http://schemas.openxmlformats.org/officeDocument/2006/relationships" name="Styringskalender_Arshjul" sheetId="4" state="visible" r:id="rId4"/>
    <sheet xmlns:r="http://schemas.openxmlformats.org/officeDocument/2006/relationships" name="Revisjon_Og_Checklist" sheetId="5" state="visible" r:id="rId5"/>
    <sheet xmlns:r="http://schemas.openxmlformats.org/officeDocument/2006/relationships" name="KOSTRA_Kontoplan_Mapp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kr&quot;"/>
    <numFmt numFmtId="165" formatCode="0.000"/>
    <numFmt numFmtId="166" formatCode="0.0%"/>
  </numFmts>
  <fonts count="12">
    <font>
      <name val="Calibri"/>
      <family val="2"/>
      <color theme="1"/>
      <sz val="11"/>
      <scheme val="minor"/>
    </font>
    <font>
      <name val="Segoe UI"/>
      <b val="1"/>
      <color rgb="001B365D"/>
      <sz val="15"/>
    </font>
    <font>
      <name val="Segoe UI"/>
      <i val="1"/>
      <color rgb="0064748B"/>
      <sz val="10"/>
    </font>
    <font>
      <name val="Segoe UI"/>
      <b val="1"/>
      <color rgb="001B365D"/>
      <sz val="11"/>
    </font>
    <font>
      <name val="Segoe UI"/>
      <b val="1"/>
      <color rgb="001B365D"/>
      <sz val="13"/>
    </font>
    <font>
      <name val="Segoe UI"/>
      <color rgb="0064748B"/>
      <sz val="9"/>
    </font>
    <font>
      <name val="Segoe UI"/>
      <b val="1"/>
      <color rgb="00FFFFFF"/>
      <sz val="10"/>
    </font>
    <font>
      <name val="Segoe UI"/>
      <b val="1"/>
      <color rgb="001E293B"/>
      <sz val="10"/>
    </font>
    <font>
      <name val="Segoe UI"/>
      <color rgb="001E293B"/>
      <sz val="10"/>
    </font>
    <font>
      <name val="Segoe UI"/>
      <b val="1"/>
      <color rgb="00C0392B"/>
      <sz val="10"/>
    </font>
    <font>
      <name val="Segoe UI"/>
      <b val="1"/>
      <color rgb="0015803D"/>
      <sz val="10"/>
    </font>
    <font>
      <name val="Segoe UI"/>
      <b val="1"/>
      <color rgb="00D97706"/>
      <sz val="10"/>
    </font>
  </fonts>
  <fills count="8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B365D"/>
        <bgColor rgb="001B365D"/>
      </patternFill>
    </fill>
    <fill>
      <patternFill patternType="solid">
        <fgColor rgb="00F1F5F9"/>
        <bgColor rgb="00F1F5F9"/>
      </patternFill>
    </fill>
    <fill>
      <patternFill patternType="solid">
        <fgColor rgb="00334155"/>
        <bgColor rgb="00334155"/>
      </patternFill>
    </fill>
    <fill>
      <patternFill patternType="solid">
        <fgColor rgb="00FEF3C7"/>
        <bgColor rgb="00FEF3C7"/>
      </patternFill>
    </fill>
    <fill>
      <patternFill patternType="solid">
        <fgColor rgb="00F0FDF4"/>
        <bgColor rgb="00F0FDF4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CBD5E1"/>
      </top>
      <bottom style="thin">
        <color rgb="00CBD5E1"/>
      </bottom>
    </border>
    <border>
      <bottom style="thin">
        <color rgb="00E2E8F0"/>
      </bottom>
    </border>
    <border>
      <top style="thin">
        <color rgb="00CBD5E1"/>
      </top>
      <bottom style="double">
        <color rgb="001B365D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65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0" borderId="0" pivotButton="0" quotePrefix="0" xfId="0"/>
    <xf numFmtId="0" fontId="6" fillId="3" borderId="2" applyAlignment="1" pivotButton="0" quotePrefix="0" xfId="0">
      <alignment horizontal="center" vertical="center" wrapText="1"/>
    </xf>
    <xf numFmtId="0" fontId="7" fillId="0" borderId="3" pivotButton="0" quotePrefix="0" xfId="0"/>
    <xf numFmtId="0" fontId="8" fillId="0" borderId="3" pivotButton="0" quotePrefix="0" xfId="0"/>
    <xf numFmtId="164" fontId="8" fillId="0" borderId="3" applyAlignment="1" pivotButton="0" quotePrefix="0" xfId="0">
      <alignment horizontal="right" vertical="center"/>
    </xf>
    <xf numFmtId="164" fontId="9" fillId="0" borderId="3" applyAlignment="1" pivotButton="0" quotePrefix="0" xfId="0">
      <alignment horizontal="right" vertical="center"/>
    </xf>
    <xf numFmtId="165" fontId="7" fillId="0" borderId="3" applyAlignment="1" pivotButton="0" quotePrefix="0" xfId="0">
      <alignment horizontal="right" vertical="center"/>
    </xf>
    <xf numFmtId="164" fontId="7" fillId="0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left" vertical="center"/>
    </xf>
    <xf numFmtId="0" fontId="7" fillId="4" borderId="4" pivotButton="0" quotePrefix="0" xfId="0"/>
    <xf numFmtId="164" fontId="7" fillId="4" borderId="4" applyAlignment="1" pivotButton="0" quotePrefix="0" xfId="0">
      <alignment horizontal="right" vertical="center"/>
    </xf>
    <xf numFmtId="165" fontId="7" fillId="4" borderId="4" applyAlignment="1" pivotButton="0" quotePrefix="0" xfId="0">
      <alignment horizontal="right" vertical="center"/>
    </xf>
    <xf numFmtId="0" fontId="8" fillId="0" borderId="0" pivotButton="0" quotePrefix="0" xfId="0"/>
    <xf numFmtId="166" fontId="9" fillId="0" borderId="3" applyAlignment="1" pivotButton="0" quotePrefix="0" xfId="0">
      <alignment horizontal="right" vertical="center"/>
    </xf>
    <xf numFmtId="0" fontId="5" fillId="0" borderId="3" applyAlignment="1" pivotButton="0" quotePrefix="0" xfId="0">
      <alignment horizontal="left" vertical="center"/>
    </xf>
    <xf numFmtId="166" fontId="7" fillId="4" borderId="4" applyAlignment="1" pivotButton="0" quotePrefix="0" xfId="0">
      <alignment horizontal="right" vertical="center"/>
    </xf>
    <xf numFmtId="0" fontId="6" fillId="5" borderId="2" applyAlignment="1" pivotButton="0" quotePrefix="0" xfId="0">
      <alignment horizontal="center" vertical="center" wrapText="1"/>
    </xf>
    <xf numFmtId="0" fontId="5" fillId="0" borderId="3" pivotButton="0" quotePrefix="0" xfId="0"/>
    <xf numFmtId="164" fontId="0" fillId="0" borderId="3" applyAlignment="1" pivotButton="0" quotePrefix="0" xfId="0">
      <alignment horizontal="right" vertical="center"/>
    </xf>
    <xf numFmtId="0" fontId="8" fillId="0" borderId="3" applyAlignment="1" pivotButton="0" quotePrefix="0" xfId="0">
      <alignment horizontal="left" vertical="center"/>
    </xf>
    <xf numFmtId="0" fontId="10" fillId="0" borderId="3" applyAlignment="1" pivotButton="0" quotePrefix="0" xfId="0">
      <alignment horizontal="left" vertical="center"/>
    </xf>
    <xf numFmtId="0" fontId="10" fillId="0" borderId="3" pivotButton="0" quotePrefix="0" xfId="0"/>
    <xf numFmtId="0" fontId="11" fillId="6" borderId="3" pivotButton="0" quotePrefix="0" xfId="0"/>
    <xf numFmtId="0" fontId="10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46" customWidth="1" min="2" max="2"/>
    <col width="35" customWidth="1" min="3" max="3"/>
    <col width="27" customWidth="1" min="4" max="4"/>
    <col width="21" customWidth="1" min="5" max="5"/>
    <col width="23" customWidth="1" min="6" max="6"/>
    <col width="22" customWidth="1" min="7" max="7"/>
    <col width="28" customWidth="1" min="8" max="8"/>
    <col width="28" customWidth="1" min="9" max="9"/>
    <col width="31" customWidth="1" min="10" max="10"/>
    <col width="66" customWidth="1" min="11" max="11"/>
  </cols>
  <sheetData>
    <row r="1"/>
    <row r="2">
      <c r="B2" s="1" t="inlineStr">
        <is>
          <t>🏛️ KRISTIANSAND KOMMUNE — EXECUTIVE CONTROLLER DASHBOARD</t>
        </is>
      </c>
    </row>
    <row r="3">
      <c r="B3" s="2" t="inlineStr">
        <is>
          <t>Økonomi og Virksomhetsstyring | 2. Tertial (T2) Status &amp; EOY Prognose | Edward Tufte Data-Ink Standard</t>
        </is>
      </c>
    </row>
    <row r="4"/>
    <row r="5">
      <c r="B5" s="3" t="inlineStr">
        <is>
          <t>ÅRSBUDSJETT (BAC)</t>
        </is>
      </c>
      <c r="D5" s="3" t="inlineStr">
        <is>
          <t>PÅLØPT YTD (AC)</t>
        </is>
      </c>
      <c r="F5" s="3" t="inlineStr">
        <is>
          <t>SAMLET AVVIK YTD</t>
        </is>
      </c>
      <c r="H5" s="3" t="inlineStr">
        <is>
          <t>KOSTNADSINDEKS (CPI)</t>
        </is>
      </c>
      <c r="J5" s="3" t="inlineStr">
        <is>
          <t>ESTIMERT SLUTTOVERSKRIDELSE</t>
        </is>
      </c>
    </row>
    <row r="6">
      <c r="B6" s="4">
        <f>SUM(E12:E13)</f>
        <v/>
      </c>
      <c r="D6" s="4">
        <f>SUM(G12:G13)</f>
        <v/>
      </c>
      <c r="F6" s="4">
        <f>SUM(H12:H13)</f>
        <v/>
      </c>
      <c r="H6" s="5">
        <f>AVERAGE(I12:I13)</f>
        <v/>
      </c>
      <c r="J6" s="4">
        <f>SUM(K12:K13)</f>
        <v/>
      </c>
    </row>
    <row r="7">
      <c r="B7" s="6" t="inlineStr">
        <is>
          <t>Vedtatt årsramme 2026</t>
        </is>
      </c>
      <c r="D7" s="6" t="inlineStr">
        <is>
          <t>Faktisk regnskap per T2</t>
        </is>
      </c>
      <c r="F7" s="6" t="inlineStr">
        <is>
          <t>Planlagt vs. Påløpt</t>
        </is>
      </c>
      <c r="H7" s="6" t="inlineStr">
        <is>
          <t>Under 1.000 = Merforbruk</t>
        </is>
      </c>
      <c r="J7" s="6" t="inlineStr">
        <is>
          <t>EAC vs. BAC differanse</t>
        </is>
      </c>
    </row>
    <row r="8"/>
    <row r="9"/>
    <row r="10">
      <c r="B10" s="7" t="inlineStr">
        <is>
          <t>1. SEKTOROVERSKRIFT &amp; PROJECT CONTROLLING NØKKELTALL (T2)</t>
        </is>
      </c>
    </row>
    <row r="11">
      <c r="B11" s="8" t="inlineStr">
        <is>
          <t>Enhet / Ansvar</t>
        </is>
      </c>
      <c r="C11" s="8" t="inlineStr">
        <is>
          <t>Tjenesteområde / Sektor</t>
        </is>
      </c>
      <c r="D11" s="8" t="inlineStr">
        <is>
          <t>Årsbudsjett BAC</t>
        </is>
      </c>
      <c r="E11" s="8" t="inlineStr">
        <is>
          <t>Planlagt YTD (PV)</t>
        </is>
      </c>
      <c r="F11" s="8" t="inlineStr">
        <is>
          <t>Påløpt YTD (AC)</t>
        </is>
      </c>
      <c r="G11" s="8" t="inlineStr">
        <is>
          <t>Kostnadsavvik (CV)</t>
        </is>
      </c>
      <c r="H11" s="8" t="inlineStr">
        <is>
          <t>Kostnadsindeks (CPI)</t>
        </is>
      </c>
      <c r="I11" s="8" t="inlineStr">
        <is>
          <t>Sluttprognose (EAC)</t>
        </is>
      </c>
      <c r="J11" s="8" t="inlineStr">
        <is>
          <t>Sluttoverskridelse (VAC)</t>
        </is>
      </c>
      <c r="K11" s="8" t="inlineStr">
        <is>
          <t>Status &amp; Tiltakskrav</t>
        </is>
      </c>
    </row>
    <row r="12">
      <c r="B12" s="9" t="inlineStr">
        <is>
          <t>Barnehageavdelingen (54 barnehager)</t>
        </is>
      </c>
      <c r="C12" s="10" t="inlineStr">
        <is>
          <t>Oppvekst og utdanning</t>
        </is>
      </c>
      <c r="D12" s="11" t="n">
        <v>720000000.01</v>
      </c>
      <c r="E12" s="11" t="n">
        <v>720000000.01</v>
      </c>
      <c r="F12" s="11" t="n">
        <v>731000000</v>
      </c>
      <c r="G12" s="12">
        <f>E12-F12</f>
        <v/>
      </c>
      <c r="H12" s="13">
        <f>IF(F12&gt;0, E12/F12, 1.0)</f>
        <v/>
      </c>
      <c r="I12" s="14">
        <f>IF(H12&gt;0, D12/H12, D12)</f>
        <v/>
      </c>
      <c r="J12" s="12">
        <f>I12-D12</f>
        <v/>
      </c>
      <c r="K12" s="15">
        <f>IF(H12&lt;0.9, "🚨 Merforbruk &gt; 10% — Krever tiltak", "🟢 I rute")</f>
        <v/>
      </c>
    </row>
    <row r="13">
      <c r="B13" s="9" t="inlineStr">
        <is>
          <t>Digitaliseringsavdelingen</t>
        </is>
      </c>
      <c r="C13" s="10" t="inlineStr">
        <is>
          <t>Organisasjon og teknologi</t>
        </is>
      </c>
      <c r="D13" s="11" t="n">
        <v>60000000.01</v>
      </c>
      <c r="E13" s="11" t="n">
        <v>60000000.01</v>
      </c>
      <c r="F13" s="11" t="n">
        <v>60000000.01</v>
      </c>
      <c r="G13" s="12">
        <f>E13-F13</f>
        <v/>
      </c>
      <c r="H13" s="13">
        <f>IF(F13&gt;0, E13/F13, 1.0)</f>
        <v/>
      </c>
      <c r="I13" s="14">
        <f>IF(H13&gt;0, D13/H13, D13)</f>
        <v/>
      </c>
      <c r="J13" s="12">
        <f>I13-D13</f>
        <v/>
      </c>
      <c r="K13" s="15">
        <f>IF(H13&lt;0.9, "🚨 Merforbruk &gt; 10% — Krever tiltak", "🟢 I rute")</f>
        <v/>
      </c>
    </row>
    <row r="14">
      <c r="B14" s="9" t="inlineStr">
        <is>
          <t>Døgnomsorg og Sykehjem</t>
        </is>
      </c>
      <c r="C14" s="10" t="inlineStr">
        <is>
          <t>Helse og mestring</t>
        </is>
      </c>
      <c r="D14" s="11" t="n">
        <v>959999999.99</v>
      </c>
      <c r="E14" s="11" t="n">
        <v>959999999.99</v>
      </c>
      <c r="F14" s="11" t="n">
        <v>978249999.99</v>
      </c>
      <c r="G14" s="12">
        <f>E14-F14</f>
        <v/>
      </c>
      <c r="H14" s="13">
        <f>IF(F14&gt;0, E14/F14, 1.0)</f>
        <v/>
      </c>
      <c r="I14" s="14">
        <f>IF(H14&gt;0, D14/H14, D14)</f>
        <v/>
      </c>
      <c r="J14" s="12">
        <f>I14-D14</f>
        <v/>
      </c>
      <c r="K14" s="15">
        <f>IF(H14&lt;0.9, "🚨 Merforbruk &gt; 10% — Krever tiltak", "🟢 I rute")</f>
        <v/>
      </c>
    </row>
    <row r="15">
      <c r="B15" s="9" t="inlineStr">
        <is>
          <t>Enhet 101: Kristiansand Folkebibliotek</t>
        </is>
      </c>
      <c r="C15" s="10" t="inlineStr">
        <is>
          <t>Kultur og innbyggerdialog</t>
        </is>
      </c>
      <c r="D15" s="11" t="n">
        <v>35000000.01</v>
      </c>
      <c r="E15" s="11" t="n">
        <v>35000000.01</v>
      </c>
      <c r="F15" s="11" t="n">
        <v>34200000.01</v>
      </c>
      <c r="G15" s="12">
        <f>E15-F15</f>
        <v/>
      </c>
      <c r="H15" s="13">
        <f>IF(F15&gt;0, E15/F15, 1.0)</f>
        <v/>
      </c>
      <c r="I15" s="14">
        <f>IF(H15&gt;0, D15/H15, D15)</f>
        <v/>
      </c>
      <c r="J15" s="12">
        <f>I15-D15</f>
        <v/>
      </c>
      <c r="K15" s="15">
        <f>IF(H15&lt;0.9, "🚨 Merforbruk &gt; 10% — Krever tiltak", "🟢 I rute")</f>
        <v/>
      </c>
    </row>
    <row r="16">
      <c r="B16" s="9" t="inlineStr">
        <is>
          <t>Enhet 202: Lovisenlev Skole</t>
        </is>
      </c>
      <c r="C16" s="10" t="inlineStr">
        <is>
          <t>Oppvekst og utdanning</t>
        </is>
      </c>
      <c r="D16" s="11" t="n">
        <v>38000000</v>
      </c>
      <c r="E16" s="11" t="n">
        <v>38000000</v>
      </c>
      <c r="F16" s="11" t="n">
        <v>39449999.99</v>
      </c>
      <c r="G16" s="12">
        <f>E16-F16</f>
        <v/>
      </c>
      <c r="H16" s="13">
        <f>IF(F16&gt;0, E16/F16, 1.0)</f>
        <v/>
      </c>
      <c r="I16" s="14">
        <f>IF(H16&gt;0, D16/H16, D16)</f>
        <v/>
      </c>
      <c r="J16" s="12">
        <f>I16-D16</f>
        <v/>
      </c>
      <c r="K16" s="15">
        <f>IF(H16&lt;0.9, "🚨 Merforbruk &gt; 10% — Krever tiltak", "🟢 I rute")</f>
        <v/>
      </c>
    </row>
    <row r="17">
      <c r="B17" s="9" t="inlineStr">
        <is>
          <t>Enhet 203: Vågsbygd Skole</t>
        </is>
      </c>
      <c r="C17" s="10" t="inlineStr">
        <is>
          <t>Oppvekst og utdanning</t>
        </is>
      </c>
      <c r="D17" s="11" t="n">
        <v>41999999.99</v>
      </c>
      <c r="E17" s="11" t="n">
        <v>41999999.99</v>
      </c>
      <c r="F17" s="11" t="n">
        <v>43650000</v>
      </c>
      <c r="G17" s="12">
        <f>E17-F17</f>
        <v/>
      </c>
      <c r="H17" s="13">
        <f>IF(F17&gt;0, E17/F17, 1.0)</f>
        <v/>
      </c>
      <c r="I17" s="14">
        <f>IF(H17&gt;0, D17/H17, D17)</f>
        <v/>
      </c>
      <c r="J17" s="12">
        <f>I17-D17</f>
        <v/>
      </c>
      <c r="K17" s="15">
        <f>IF(H17&lt;0.9, "🚨 Merforbruk &gt; 10% — Krever tiltak", "🟢 I rute")</f>
        <v/>
      </c>
    </row>
    <row r="18">
      <c r="B18" s="9" t="inlineStr">
        <is>
          <t>Enhet 204: Grim Ungdomsskole</t>
        </is>
      </c>
      <c r="C18" s="10" t="inlineStr">
        <is>
          <t>Oppvekst og utdanning</t>
        </is>
      </c>
      <c r="D18" s="11" t="n">
        <v>44999999.99</v>
      </c>
      <c r="E18" s="11" t="n">
        <v>44999999.99</v>
      </c>
      <c r="F18" s="11" t="n">
        <v>46200000</v>
      </c>
      <c r="G18" s="12">
        <f>E18-F18</f>
        <v/>
      </c>
      <c r="H18" s="13">
        <f>IF(F18&gt;0, E18/F18, 1.0)</f>
        <v/>
      </c>
      <c r="I18" s="14">
        <f>IF(H18&gt;0, D18/H18, D18)</f>
        <v/>
      </c>
      <c r="J18" s="12">
        <f>I18-D18</f>
        <v/>
      </c>
      <c r="K18" s="15">
        <f>IF(H18&lt;0.9, "🚨 Merforbruk &gt; 10% — Krever tiltak", "🟢 I rute")</f>
        <v/>
      </c>
    </row>
    <row r="19">
      <c r="B19" s="9" t="inlineStr">
        <is>
          <t>Enhet 211: Lund Kommunale Barnehage</t>
        </is>
      </c>
      <c r="C19" s="10" t="inlineStr">
        <is>
          <t>Oppvekst og utdanning</t>
        </is>
      </c>
      <c r="D19" s="11" t="n">
        <v>27999999.99</v>
      </c>
      <c r="E19" s="11" t="n">
        <v>27999999.99</v>
      </c>
      <c r="F19" s="11" t="n">
        <v>29149999.99</v>
      </c>
      <c r="G19" s="12">
        <f>E19-F19</f>
        <v/>
      </c>
      <c r="H19" s="13">
        <f>IF(F19&gt;0, E19/F19, 1.0)</f>
        <v/>
      </c>
      <c r="I19" s="14">
        <f>IF(H19&gt;0, D19/H19, D19)</f>
        <v/>
      </c>
      <c r="J19" s="12">
        <f>I19-D19</f>
        <v/>
      </c>
      <c r="K19" s="15">
        <f>IF(H19&lt;0.9, "🚨 Merforbruk &gt; 10% — Krever tiltak", "🟢 I rute")</f>
        <v/>
      </c>
    </row>
    <row r="20">
      <c r="B20" s="9" t="inlineStr">
        <is>
          <t>Enhet 301: Byggesak og Tilsyn</t>
        </is>
      </c>
      <c r="C20" s="10" t="inlineStr">
        <is>
          <t>By- og stedsutvikling</t>
        </is>
      </c>
      <c r="D20" s="11" t="n">
        <v>41999999.99</v>
      </c>
      <c r="E20" s="11" t="n">
        <v>41999999.99</v>
      </c>
      <c r="F20" s="11" t="n">
        <v>45300000</v>
      </c>
      <c r="G20" s="12">
        <f>E20-F20</f>
        <v/>
      </c>
      <c r="H20" s="13">
        <f>IF(F20&gt;0, E20/F20, 1.0)</f>
        <v/>
      </c>
      <c r="I20" s="14">
        <f>IF(H20&gt;0, D20/H20, D20)</f>
        <v/>
      </c>
      <c r="J20" s="12">
        <f>I20-D20</f>
        <v/>
      </c>
      <c r="K20" s="15">
        <f>IF(H20&lt;0.9, "🚨 Merforbruk &gt; 10% — Krever tiltak", "🟢 I rute")</f>
        <v/>
      </c>
    </row>
    <row r="21">
      <c r="B21" s="9" t="inlineStr">
        <is>
          <t>Enhet 302: Vann, Avløp og Renovasjon</t>
        </is>
      </c>
      <c r="C21" s="10" t="inlineStr">
        <is>
          <t>By- og stedsutvikling</t>
        </is>
      </c>
      <c r="D21" s="11" t="n">
        <v>319999999.99</v>
      </c>
      <c r="E21" s="11" t="n">
        <v>319999999.99</v>
      </c>
      <c r="F21" s="11" t="n">
        <v>319999999.99</v>
      </c>
      <c r="G21" s="12">
        <f>E21-F21</f>
        <v/>
      </c>
      <c r="H21" s="13">
        <f>IF(F21&gt;0, E21/F21, 1.0)</f>
        <v/>
      </c>
      <c r="I21" s="14">
        <f>IF(H21&gt;0, D21/H21, D21)</f>
        <v/>
      </c>
      <c r="J21" s="12">
        <f>I21-D21</f>
        <v/>
      </c>
      <c r="K21" s="15">
        <f>IF(H21&lt;0.9, "🚨 Merforbruk &gt; 10% — Krever tiltak", "🟢 I rute")</f>
        <v/>
      </c>
    </row>
    <row r="22">
      <c r="B22" s="9" t="inlineStr">
        <is>
          <t>Enhet 401: Strai Sykehjem &amp; Omsorgsboliger</t>
        </is>
      </c>
      <c r="C22" s="10" t="inlineStr">
        <is>
          <t>Helse og mestring</t>
        </is>
      </c>
      <c r="D22" s="11" t="n">
        <v>61999999.99</v>
      </c>
      <c r="E22" s="11" t="n">
        <v>61999999.99</v>
      </c>
      <c r="F22" s="11" t="n">
        <v>64350000</v>
      </c>
      <c r="G22" s="12">
        <f>E22-F22</f>
        <v/>
      </c>
      <c r="H22" s="13">
        <f>IF(F22&gt;0, E22/F22, 1.0)</f>
        <v/>
      </c>
      <c r="I22" s="14">
        <f>IF(H22&gt;0, D22/H22, D22)</f>
        <v/>
      </c>
      <c r="J22" s="12">
        <f>I22-D22</f>
        <v/>
      </c>
      <c r="K22" s="15">
        <f>IF(H22&lt;0.9, "🚨 Merforbruk &gt; 10% — Krever tiltak", "🟢 I rute")</f>
        <v/>
      </c>
    </row>
    <row r="23">
      <c r="B23" s="9" t="inlineStr">
        <is>
          <t>Enhet 402: Hjemmetjenesten Vågsbygd</t>
        </is>
      </c>
      <c r="C23" s="10" t="inlineStr">
        <is>
          <t>Helse og mestring</t>
        </is>
      </c>
      <c r="D23" s="11" t="n">
        <v>55000000</v>
      </c>
      <c r="E23" s="11" t="n">
        <v>55000000</v>
      </c>
      <c r="F23" s="11" t="n">
        <v>56799999.99</v>
      </c>
      <c r="G23" s="12">
        <f>E23-F23</f>
        <v/>
      </c>
      <c r="H23" s="13">
        <f>IF(F23&gt;0, E23/F23, 1.0)</f>
        <v/>
      </c>
      <c r="I23" s="14">
        <f>IF(H23&gt;0, D23/H23, D23)</f>
        <v/>
      </c>
      <c r="J23" s="12">
        <f>I23-D23</f>
        <v/>
      </c>
      <c r="K23" s="15">
        <f>IF(H23&lt;0.9, "🚨 Merforbruk &gt; 10% — Krever tiltak", "🟢 I rute")</f>
        <v/>
      </c>
    </row>
    <row r="24">
      <c r="B24" s="9" t="inlineStr">
        <is>
          <t>Enhet 403: Sørlandsparken Bo- og Miljøtjeneste</t>
        </is>
      </c>
      <c r="C24" s="10" t="inlineStr">
        <is>
          <t>Helse og mestring</t>
        </is>
      </c>
      <c r="D24" s="11" t="n">
        <v>47999999.99</v>
      </c>
      <c r="E24" s="11" t="n">
        <v>47999999.99</v>
      </c>
      <c r="F24" s="11" t="n">
        <v>50400000</v>
      </c>
      <c r="G24" s="12">
        <f>E24-F24</f>
        <v/>
      </c>
      <c r="H24" s="13">
        <f>IF(F24&gt;0, E24/F24, 1.0)</f>
        <v/>
      </c>
      <c r="I24" s="14">
        <f>IF(H24&gt;0, D24/H24, D24)</f>
        <v/>
      </c>
      <c r="J24" s="12">
        <f>I24-D24</f>
        <v/>
      </c>
      <c r="K24" s="15">
        <f>IF(H24&lt;0.9, "🚨 Merforbruk &gt; 10% — Krever tiltak", "🟢 I rute")</f>
        <v/>
      </c>
    </row>
    <row r="25">
      <c r="B25" s="9" t="inlineStr">
        <is>
          <t>Enhet 404: Presteheia Omsorgssenter</t>
        </is>
      </c>
      <c r="C25" s="10" t="inlineStr">
        <is>
          <t>Helse og mestring</t>
        </is>
      </c>
      <c r="D25" s="11" t="n">
        <v>68000000</v>
      </c>
      <c r="E25" s="11" t="n">
        <v>68000000</v>
      </c>
      <c r="F25" s="11" t="n">
        <v>70099999.98999999</v>
      </c>
      <c r="G25" s="12">
        <f>E25-F25</f>
        <v/>
      </c>
      <c r="H25" s="13">
        <f>IF(F25&gt;0, E25/F25, 1.0)</f>
        <v/>
      </c>
      <c r="I25" s="14">
        <f>IF(H25&gt;0, D25/H25, D25)</f>
        <v/>
      </c>
      <c r="J25" s="12">
        <f>I25-D25</f>
        <v/>
      </c>
      <c r="K25" s="15">
        <f>IF(H25&lt;0.9, "🚨 Merforbruk &gt; 10% — Krever tiltak", "🟢 I rute")</f>
        <v/>
      </c>
    </row>
    <row r="26">
      <c r="B26" s="9" t="inlineStr">
        <is>
          <t>Enhet 501: IKT Drift &amp; Brukerstøtte</t>
        </is>
      </c>
      <c r="C26" s="10" t="inlineStr">
        <is>
          <t>Organisasjon og teknologi</t>
        </is>
      </c>
      <c r="D26" s="11" t="n">
        <v>179999999.99</v>
      </c>
      <c r="E26" s="11" t="n">
        <v>179999999.99</v>
      </c>
      <c r="F26" s="11" t="n">
        <v>180200000</v>
      </c>
      <c r="G26" s="12">
        <f>E26-F26</f>
        <v/>
      </c>
      <c r="H26" s="13">
        <f>IF(F26&gt;0, E26/F26, 1.0)</f>
        <v/>
      </c>
      <c r="I26" s="14">
        <f>IF(H26&gt;0, D26/H26, D26)</f>
        <v/>
      </c>
      <c r="J26" s="12">
        <f>I26-D26</f>
        <v/>
      </c>
      <c r="K26" s="15">
        <f>IF(H26&lt;0.9, "🚨 Merforbruk &gt; 10% — Krever tiltak", "🟢 I rute")</f>
        <v/>
      </c>
    </row>
    <row r="27">
      <c r="B27" s="9" t="inlineStr">
        <is>
          <t>Enhet 601: Finans- og Likviditetsforvaltning</t>
        </is>
      </c>
      <c r="C27" s="10" t="inlineStr">
        <is>
          <t>Økonomi og virksomhetsstyring</t>
        </is>
      </c>
      <c r="D27" s="11" t="n">
        <v>420000000.01</v>
      </c>
      <c r="E27" s="11" t="n">
        <v>420000000.01</v>
      </c>
      <c r="F27" s="11" t="n">
        <v>412500000</v>
      </c>
      <c r="G27" s="12">
        <f>E27-F27</f>
        <v/>
      </c>
      <c r="H27" s="13">
        <f>IF(F27&gt;0, E27/F27, 1.0)</f>
        <v/>
      </c>
      <c r="I27" s="14">
        <f>IF(H27&gt;0, D27/H27, D27)</f>
        <v/>
      </c>
      <c r="J27" s="12">
        <f>I27-D27</f>
        <v/>
      </c>
      <c r="K27" s="15">
        <f>IF(H27&lt;0.9, "🚨 Merforbruk &gt; 10% — Krever tiltak", "🟢 I rute")</f>
        <v/>
      </c>
    </row>
    <row r="28">
      <c r="B28" s="9" t="inlineStr">
        <is>
          <t>Grunnskoleavdelingen (28 skoler)</t>
        </is>
      </c>
      <c r="C28" s="10" t="inlineStr">
        <is>
          <t>Oppvekst og utdanning</t>
        </is>
      </c>
      <c r="D28" s="11" t="n">
        <v>920000000</v>
      </c>
      <c r="E28" s="11" t="n">
        <v>920000000</v>
      </c>
      <c r="F28" s="11" t="n">
        <v>936800000.01</v>
      </c>
      <c r="G28" s="12">
        <f>E28-F28</f>
        <v/>
      </c>
      <c r="H28" s="13">
        <f>IF(F28&gt;0, E28/F28, 1.0)</f>
        <v/>
      </c>
      <c r="I28" s="14">
        <f>IF(H28&gt;0, D28/H28, D28)</f>
        <v/>
      </c>
      <c r="J28" s="12">
        <f>I28-D28</f>
        <v/>
      </c>
      <c r="K28" s="15">
        <f>IF(H28&lt;0.9, "🚨 Merforbruk &gt; 10% — Krever tiltak", "🟢 I rute")</f>
        <v/>
      </c>
    </row>
    <row r="29">
      <c r="B29" s="9" t="inlineStr">
        <is>
          <t>Hjemmetjenester og rehabilitering</t>
        </is>
      </c>
      <c r="C29" s="10" t="inlineStr">
        <is>
          <t>Helse og mestring</t>
        </is>
      </c>
      <c r="D29" s="11" t="n">
        <v>820000000</v>
      </c>
      <c r="E29" s="11" t="n">
        <v>820000000</v>
      </c>
      <c r="F29" s="11" t="n">
        <v>831199999.99</v>
      </c>
      <c r="G29" s="12">
        <f>E29-F29</f>
        <v/>
      </c>
      <c r="H29" s="13">
        <f>IF(F29&gt;0, E29/F29, 1.0)</f>
        <v/>
      </c>
      <c r="I29" s="14">
        <f>IF(H29&gt;0, D29/H29, D29)</f>
        <v/>
      </c>
      <c r="J29" s="12">
        <f>I29-D29</f>
        <v/>
      </c>
      <c r="K29" s="15">
        <f>IF(H29&lt;0.9, "🚨 Merforbruk &gt; 10% — Krever tiltak", "🟢 I rute")</f>
        <v/>
      </c>
    </row>
    <row r="30">
      <c r="B30" s="9" t="inlineStr">
        <is>
          <t>IKT Drift — Cloud &amp; FinOps</t>
        </is>
      </c>
      <c r="C30" s="10" t="inlineStr">
        <is>
          <t>Organisasjon og teknologi</t>
        </is>
      </c>
      <c r="D30" s="11" t="n">
        <v>44999999.99</v>
      </c>
      <c r="E30" s="11" t="n">
        <v>44999999.99</v>
      </c>
      <c r="F30" s="11" t="n">
        <v>44200000</v>
      </c>
      <c r="G30" s="12">
        <f>E30-F30</f>
        <v/>
      </c>
      <c r="H30" s="13">
        <f>IF(F30&gt;0, E30/F30, 1.0)</f>
        <v/>
      </c>
      <c r="I30" s="14">
        <f>IF(H30&gt;0, D30/H30, D30)</f>
        <v/>
      </c>
      <c r="J30" s="12">
        <f>I30-D30</f>
        <v/>
      </c>
      <c r="K30" s="15">
        <f>IF(H30&lt;0.9, "🚨 Merforbruk &gt; 10% — Krever tiltak", "🟢 I rute")</f>
        <v/>
      </c>
    </row>
    <row r="31">
      <c r="B31" s="9" t="inlineStr">
        <is>
          <t>Ingeniørvesenet (Vann, Avløp &amp; Renovasjon)</t>
        </is>
      </c>
      <c r="C31" s="10" t="inlineStr">
        <is>
          <t>By- og stedsutvikling</t>
        </is>
      </c>
      <c r="D31" s="11" t="n">
        <v>85000000</v>
      </c>
      <c r="E31" s="11" t="n">
        <v>85000000</v>
      </c>
      <c r="F31" s="11" t="n">
        <v>85000000</v>
      </c>
      <c r="G31" s="12">
        <f>E31-F31</f>
        <v/>
      </c>
      <c r="H31" s="13">
        <f>IF(F31&gt;0, E31/F31, 1.0)</f>
        <v/>
      </c>
      <c r="I31" s="14">
        <f>IF(H31&gt;0, D31/H31, D31)</f>
        <v/>
      </c>
      <c r="J31" s="12">
        <f>I31-D31</f>
        <v/>
      </c>
      <c r="K31" s="15">
        <f>IF(H31&lt;0.9, "🚨 Merforbruk &gt; 10% — Krever tiltak", "🟢 I rute")</f>
        <v/>
      </c>
    </row>
    <row r="32">
      <c r="B32" s="9" t="inlineStr">
        <is>
          <t>Kommunal Boenhet</t>
        </is>
      </c>
      <c r="C32" s="10" t="inlineStr">
        <is>
          <t>Helse og mestring</t>
        </is>
      </c>
      <c r="D32" s="11" t="n">
        <v>50339572</v>
      </c>
      <c r="E32" s="11" t="n">
        <v>39650784</v>
      </c>
      <c r="F32" s="11" t="n">
        <v>47426243.51</v>
      </c>
      <c r="G32" s="12">
        <f>E32-F32</f>
        <v/>
      </c>
      <c r="H32" s="13">
        <f>IF(F32&gt;0, E32/F32, 1.0)</f>
        <v/>
      </c>
      <c r="I32" s="14">
        <f>IF(H32&gt;0, D32/H32, D32)</f>
        <v/>
      </c>
      <c r="J32" s="12">
        <f>I32-D32</f>
        <v/>
      </c>
      <c r="K32" s="15">
        <f>IF(H32&lt;0.9, "🚨 Merforbruk &gt; 10% — Krever tiltak", "🟢 I rute")</f>
        <v/>
      </c>
    </row>
    <row r="33">
      <c r="B33" s="9" t="inlineStr">
        <is>
          <t>Kommunal Boenhet (Enhet 2540)</t>
        </is>
      </c>
      <c r="C33" s="10" t="inlineStr">
        <is>
          <t>Helse og mestring</t>
        </is>
      </c>
      <c r="D33" s="11" t="n">
        <v>14500000.01</v>
      </c>
      <c r="E33" s="11" t="n">
        <v>14500000.01</v>
      </c>
      <c r="F33" s="11" t="n">
        <v>15649999.99</v>
      </c>
      <c r="G33" s="12">
        <f>E33-F33</f>
        <v/>
      </c>
      <c r="H33" s="13">
        <f>IF(F33&gt;0, E33/F33, 1.0)</f>
        <v/>
      </c>
      <c r="I33" s="14">
        <f>IF(H33&gt;0, D33/H33, D33)</f>
        <v/>
      </c>
      <c r="J33" s="12">
        <f>I33-D33</f>
        <v/>
      </c>
      <c r="K33" s="15">
        <f>IF(H33&lt;0.9, "🚨 Merforbruk &gt; 10% — Krever tiltak", "🟢 I rute")</f>
        <v/>
      </c>
    </row>
    <row r="34">
      <c r="B34" s="9" t="inlineStr">
        <is>
          <t>Kommunal Skole</t>
        </is>
      </c>
      <c r="C34" s="10" t="inlineStr">
        <is>
          <t>Oppvekst og utdanning</t>
        </is>
      </c>
      <c r="D34" s="11" t="n">
        <v>33591000</v>
      </c>
      <c r="E34" s="11" t="n">
        <v>31983000</v>
      </c>
      <c r="F34" s="11" t="n">
        <v>36080000</v>
      </c>
      <c r="G34" s="12">
        <f>E34-F34</f>
        <v/>
      </c>
      <c r="H34" s="13">
        <f>IF(F34&gt;0, E34/F34, 1.0)</f>
        <v/>
      </c>
      <c r="I34" s="14">
        <f>IF(H34&gt;0, D34/H34, D34)</f>
        <v/>
      </c>
      <c r="J34" s="12">
        <f>I34-D34</f>
        <v/>
      </c>
      <c r="K34" s="15">
        <f>IF(H34&lt;0.9, "🚨 Merforbruk &gt; 10% — Krever tiltak", "🟢 I rute")</f>
        <v/>
      </c>
    </row>
    <row r="35">
      <c r="B35" s="9" t="inlineStr">
        <is>
          <t>Kommunalsjefens fagstab Helse</t>
        </is>
      </c>
      <c r="C35" s="10" t="inlineStr">
        <is>
          <t>Helse og mestring</t>
        </is>
      </c>
      <c r="D35" s="11" t="n">
        <v>24499999.99</v>
      </c>
      <c r="E35" s="11" t="n">
        <v>24499999.99</v>
      </c>
      <c r="F35" s="11" t="n">
        <v>25299999.99</v>
      </c>
      <c r="G35" s="12">
        <f>E35-F35</f>
        <v/>
      </c>
      <c r="H35" s="13">
        <f>IF(F35&gt;0, E35/F35, 1.0)</f>
        <v/>
      </c>
      <c r="I35" s="14">
        <f>IF(H35&gt;0, D35/H35, D35)</f>
        <v/>
      </c>
      <c r="J35" s="12">
        <f>I35-D35</f>
        <v/>
      </c>
      <c r="K35" s="15">
        <f>IF(H35&lt;0.9, "🚨 Merforbruk &gt; 10% — Krever tiltak", "🟢 I rute")</f>
        <v/>
      </c>
    </row>
    <row r="36">
      <c r="B36" s="9" t="inlineStr">
        <is>
          <t>Kommunalsjefens fagstab Oppvekst</t>
        </is>
      </c>
      <c r="C36" s="10" t="inlineStr">
        <is>
          <t>Oppvekst og utdanning</t>
        </is>
      </c>
      <c r="D36" s="11" t="n">
        <v>21999999.99</v>
      </c>
      <c r="E36" s="11" t="n">
        <v>21999999.99</v>
      </c>
      <c r="F36" s="11" t="n">
        <v>22500000</v>
      </c>
      <c r="G36" s="12">
        <f>E36-F36</f>
        <v/>
      </c>
      <c r="H36" s="13">
        <f>IF(F36&gt;0, E36/F36, 1.0)</f>
        <v/>
      </c>
      <c r="I36" s="14">
        <f>IF(H36&gt;0, D36/H36, D36)</f>
        <v/>
      </c>
      <c r="J36" s="12">
        <f>I36-D36</f>
        <v/>
      </c>
      <c r="K36" s="15">
        <f>IF(H36&lt;0.9, "🚨 Merforbruk &gt; 10% — Krever tiltak", "🟢 I rute")</f>
        <v/>
      </c>
    </row>
    <row r="37">
      <c r="B37" s="9" t="inlineStr">
        <is>
          <t>Kommunalsjefens stab Byutvikling</t>
        </is>
      </c>
      <c r="C37" s="10" t="inlineStr">
        <is>
          <t>By- og stedsutvikling</t>
        </is>
      </c>
      <c r="D37" s="11" t="n">
        <v>179999999.99</v>
      </c>
      <c r="E37" s="11" t="n">
        <v>179999999.99</v>
      </c>
      <c r="F37" s="11" t="n">
        <v>181500000.01</v>
      </c>
      <c r="G37" s="12">
        <f>E37-F37</f>
        <v/>
      </c>
      <c r="H37" s="13">
        <f>IF(F37&gt;0, E37/F37, 1.0)</f>
        <v/>
      </c>
      <c r="I37" s="14">
        <f>IF(H37&gt;0, D37/H37, D37)</f>
        <v/>
      </c>
      <c r="J37" s="12">
        <f>I37-D37</f>
        <v/>
      </c>
      <c r="K37" s="15">
        <f>IF(H37&lt;0.9, "🚨 Merforbruk &gt; 10% — Krever tiltak", "🟢 I rute")</f>
        <v/>
      </c>
    </row>
    <row r="38">
      <c r="B38" s="9" t="inlineStr">
        <is>
          <t>Kommunalsjefens stab Kultur</t>
        </is>
      </c>
      <c r="C38" s="10" t="inlineStr">
        <is>
          <t>Kultur og innbyggerdialog</t>
        </is>
      </c>
      <c r="D38" s="11" t="n">
        <v>240000000</v>
      </c>
      <c r="E38" s="11" t="n">
        <v>240000000</v>
      </c>
      <c r="F38" s="11" t="n">
        <v>239400000</v>
      </c>
      <c r="G38" s="12">
        <f>E38-F38</f>
        <v/>
      </c>
      <c r="H38" s="13">
        <f>IF(F38&gt;0, E38/F38, 1.0)</f>
        <v/>
      </c>
      <c r="I38" s="14">
        <f>IF(H38&gt;0, D38/H38, D38)</f>
        <v/>
      </c>
      <c r="J38" s="12">
        <f>I38-D38</f>
        <v/>
      </c>
      <c r="K38" s="15">
        <f>IF(H38&lt;0.9, "🚨 Merforbruk &gt; 10% — Krever tiltak", "🟢 I rute")</f>
        <v/>
      </c>
    </row>
    <row r="39">
      <c r="B39" s="9" t="inlineStr">
        <is>
          <t>Kommunalsjefens stab Org &amp; Tek</t>
        </is>
      </c>
      <c r="C39" s="10" t="inlineStr">
        <is>
          <t>Organisasjon og teknologi</t>
        </is>
      </c>
      <c r="D39" s="11" t="n">
        <v>60000000.01</v>
      </c>
      <c r="E39" s="11" t="n">
        <v>60000000.01</v>
      </c>
      <c r="F39" s="11" t="n">
        <v>60000000.01</v>
      </c>
      <c r="G39" s="12">
        <f>E39-F39</f>
        <v/>
      </c>
      <c r="H39" s="13">
        <f>IF(F39&gt;0, E39/F39, 1.0)</f>
        <v/>
      </c>
      <c r="I39" s="14">
        <f>IF(H39&gt;0, D39/H39, D39)</f>
        <v/>
      </c>
      <c r="J39" s="12">
        <f>I39-D39</f>
        <v/>
      </c>
      <c r="K39" s="15">
        <f>IF(H39&lt;0.9, "🚨 Merforbruk &gt; 10% — Krever tiltak", "🟢 I rute")</f>
        <v/>
      </c>
    </row>
    <row r="40">
      <c r="B40" s="9" t="inlineStr">
        <is>
          <t>Kommunedirektørens stab</t>
        </is>
      </c>
      <c r="C40" s="10" t="inlineStr">
        <is>
          <t>Konsernledelsen / Bystyret</t>
        </is>
      </c>
      <c r="D40" s="11" t="n">
        <v>80000000.01000001</v>
      </c>
      <c r="E40" s="11" t="n">
        <v>80000000.01000001</v>
      </c>
      <c r="F40" s="11" t="n">
        <v>80000000.01000001</v>
      </c>
      <c r="G40" s="12">
        <f>E40-F40</f>
        <v/>
      </c>
      <c r="H40" s="13">
        <f>IF(F40&gt;0, E40/F40, 1.0)</f>
        <v/>
      </c>
      <c r="I40" s="14">
        <f>IF(H40&gt;0, D40/H40, D40)</f>
        <v/>
      </c>
      <c r="J40" s="12">
        <f>I40-D40</f>
        <v/>
      </c>
      <c r="K40" s="15">
        <f>IF(H40&lt;0.9, "🚨 Merforbruk &gt; 10% — Krever tiltak", "🟢 I rute")</f>
        <v/>
      </c>
    </row>
    <row r="41">
      <c r="B41" s="9" t="inlineStr">
        <is>
          <t>Konsernregnskap og Lønnssentral</t>
        </is>
      </c>
      <c r="C41" s="10" t="inlineStr">
        <is>
          <t>Økonomi og virksomhetsstyring</t>
        </is>
      </c>
      <c r="D41" s="11" t="n">
        <v>64999999.99</v>
      </c>
      <c r="E41" s="11" t="n">
        <v>64999999.99</v>
      </c>
      <c r="F41" s="11" t="n">
        <v>64999999.99</v>
      </c>
      <c r="G41" s="12">
        <f>E41-F41</f>
        <v/>
      </c>
      <c r="H41" s="13">
        <f>IF(F41&gt;0, E41/F41, 1.0)</f>
        <v/>
      </c>
      <c r="I41" s="14">
        <f>IF(H41&gt;0, D41/H41, D41)</f>
        <v/>
      </c>
      <c r="J41" s="12">
        <f>I41-D41</f>
        <v/>
      </c>
      <c r="K41" s="15">
        <f>IF(H41&lt;0.9, "🚨 Merforbruk &gt; 10% — Krever tiltak", "🟢 I rute")</f>
        <v/>
      </c>
    </row>
    <row r="42">
      <c r="B42" s="9" t="inlineStr">
        <is>
          <t>Lovisenlev Skole — Skolefritidsordning</t>
        </is>
      </c>
      <c r="C42" s="10" t="inlineStr">
        <is>
          <t>Oppvekst og utdanning</t>
        </is>
      </c>
      <c r="D42" s="11" t="n">
        <v>6000000.01</v>
      </c>
      <c r="E42" s="11" t="n">
        <v>6000000.01</v>
      </c>
      <c r="F42" s="11" t="n">
        <v>6350000</v>
      </c>
      <c r="G42" s="12">
        <f>E42-F42</f>
        <v/>
      </c>
      <c r="H42" s="13">
        <f>IF(F42&gt;0, E42/F42, 1.0)</f>
        <v/>
      </c>
      <c r="I42" s="14">
        <f>IF(H42&gt;0, D42/H42, D42)</f>
        <v/>
      </c>
      <c r="J42" s="12">
        <f>I42-D42</f>
        <v/>
      </c>
      <c r="K42" s="15">
        <f>IF(H42&lt;0.9, "🚨 Merforbruk &gt; 10% — Krever tiltak", "🟢 I rute")</f>
        <v/>
      </c>
    </row>
    <row r="43">
      <c r="B43" s="9" t="inlineStr">
        <is>
          <t>Lovisenlev Skole — Småtrinnet</t>
        </is>
      </c>
      <c r="C43" s="10" t="inlineStr">
        <is>
          <t>Oppvekst og utdanning</t>
        </is>
      </c>
      <c r="D43" s="11" t="n">
        <v>13999999.99</v>
      </c>
      <c r="E43" s="11" t="n">
        <v>13999999.99</v>
      </c>
      <c r="F43" s="11" t="n">
        <v>14399999.99</v>
      </c>
      <c r="G43" s="12">
        <f>E43-F43</f>
        <v/>
      </c>
      <c r="H43" s="13">
        <f>IF(F43&gt;0, E43/F43, 1.0)</f>
        <v/>
      </c>
      <c r="I43" s="14">
        <f>IF(H43&gt;0, D43/H43, D43)</f>
        <v/>
      </c>
      <c r="J43" s="12">
        <f>I43-D43</f>
        <v/>
      </c>
      <c r="K43" s="15">
        <f>IF(H43&lt;0.9, "🚨 Merforbruk &gt; 10% — Krever tiltak", "🟢 I rute")</f>
        <v/>
      </c>
    </row>
    <row r="44">
      <c r="B44" s="9" t="inlineStr">
        <is>
          <t>Plan- og bygningsetaten</t>
        </is>
      </c>
      <c r="C44" s="10" t="inlineStr">
        <is>
          <t>By- og stedsutvikling</t>
        </is>
      </c>
      <c r="D44" s="11" t="n">
        <v>68000000</v>
      </c>
      <c r="E44" s="11" t="n">
        <v>68000000</v>
      </c>
      <c r="F44" s="11" t="n">
        <v>66700000</v>
      </c>
      <c r="G44" s="12">
        <f>E44-F44</f>
        <v/>
      </c>
      <c r="H44" s="13">
        <f>IF(F44&gt;0, E44/F44, 1.0)</f>
        <v/>
      </c>
      <c r="I44" s="14">
        <f>IF(H44&gt;0, D44/H44, D44)</f>
        <v/>
      </c>
      <c r="J44" s="12">
        <f>I44-D44</f>
        <v/>
      </c>
      <c r="K44" s="15">
        <f>IF(H44&lt;0.9, "🚨 Merforbruk &gt; 10% — Krever tiltak", "🟢 I rute")</f>
        <v/>
      </c>
    </row>
    <row r="45">
      <c r="B45" s="9" t="inlineStr">
        <is>
          <t>Sentral økonomistab</t>
        </is>
      </c>
      <c r="C45" s="10" t="inlineStr">
        <is>
          <t>Økonomi og virksomhetsstyring</t>
        </is>
      </c>
      <c r="D45" s="11" t="n">
        <v>49999999.99</v>
      </c>
      <c r="E45" s="11" t="n">
        <v>49999999.99</v>
      </c>
      <c r="F45" s="11" t="n">
        <v>49999999.99</v>
      </c>
      <c r="G45" s="12">
        <f>E45-F45</f>
        <v/>
      </c>
      <c r="H45" s="13">
        <f>IF(F45&gt;0, E45/F45, 1.0)</f>
        <v/>
      </c>
      <c r="I45" s="14">
        <f>IF(H45&gt;0, D45/H45, D45)</f>
        <v/>
      </c>
      <c r="J45" s="12">
        <f>I45-D45</f>
        <v/>
      </c>
      <c r="K45" s="15">
        <f>IF(H45&lt;0.9, "🚨 Merforbruk &gt; 10% — Krever tiltak", "🟢 I rute")</f>
        <v/>
      </c>
    </row>
    <row r="46">
      <c r="B46" s="9" t="inlineStr">
        <is>
          <t>Sentraladministrasjonen</t>
        </is>
      </c>
      <c r="C46" s="10" t="inlineStr">
        <is>
          <t>Fellestjenester</t>
        </is>
      </c>
      <c r="D46" s="11" t="n">
        <v>240000000</v>
      </c>
      <c r="E46" s="11" t="n">
        <v>240000000</v>
      </c>
      <c r="F46" s="11" t="n">
        <v>240000000</v>
      </c>
      <c r="G46" s="12">
        <f>E46-F46</f>
        <v/>
      </c>
      <c r="H46" s="13">
        <f>IF(F46&gt;0, E46/F46, 1.0)</f>
        <v/>
      </c>
      <c r="I46" s="14">
        <f>IF(H46&gt;0, D46/H46, D46)</f>
        <v/>
      </c>
      <c r="J46" s="12">
        <f>I46-D46</f>
        <v/>
      </c>
      <c r="K46" s="15">
        <f>IF(H46&lt;0.9, "🚨 Merforbruk &gt; 10% — Krever tiltak", "🟢 I rute")</f>
        <v/>
      </c>
    </row>
    <row r="47">
      <c r="B47" s="9" t="inlineStr">
        <is>
          <t>Sentrale Økonomitjenester / Hub Koordinator</t>
        </is>
      </c>
      <c r="C47" s="10" t="inlineStr">
        <is>
          <t>Konsern, Helse &amp; Oppvekst</t>
        </is>
      </c>
      <c r="D47" s="11" t="n">
        <v>30000000</v>
      </c>
      <c r="E47" s="11" t="n">
        <v>30000000</v>
      </c>
      <c r="F47" s="11" t="n">
        <v>30000000</v>
      </c>
      <c r="G47" s="12">
        <f>E47-F47</f>
        <v/>
      </c>
      <c r="H47" s="13">
        <f>IF(F47&gt;0, E47/F47, 1.0)</f>
        <v/>
      </c>
      <c r="I47" s="14">
        <f>IF(H47&gt;0, D47/H47, D47)</f>
        <v/>
      </c>
      <c r="J47" s="12">
        <f>I47-D47</f>
        <v/>
      </c>
      <c r="K47" s="15">
        <f>IF(H47&lt;0.9, "🚨 Merforbruk &gt; 10% — Krever tiltak", "🟢 I rute")</f>
        <v/>
      </c>
    </row>
    <row r="48">
      <c r="B48" s="9" t="inlineStr">
        <is>
          <t>Strai Sykehjem — Avd. Demens</t>
        </is>
      </c>
      <c r="C48" s="10" t="inlineStr">
        <is>
          <t>Helse og mestring</t>
        </is>
      </c>
      <c r="D48" s="11" t="n">
        <v>18000000.01</v>
      </c>
      <c r="E48" s="11" t="n">
        <v>18000000.01</v>
      </c>
      <c r="F48" s="11" t="n">
        <v>18800000.01</v>
      </c>
      <c r="G48" s="12">
        <f>E48-F48</f>
        <v/>
      </c>
      <c r="H48" s="13">
        <f>IF(F48&gt;0, E48/F48, 1.0)</f>
        <v/>
      </c>
      <c r="I48" s="14">
        <f>IF(H48&gt;0, D48/H48, D48)</f>
        <v/>
      </c>
      <c r="J48" s="12">
        <f>I48-D48</f>
        <v/>
      </c>
      <c r="K48" s="15">
        <f>IF(H48&lt;0.9, "🚨 Merforbruk &gt; 10% — Krever tiltak", "🟢 I rute")</f>
        <v/>
      </c>
    </row>
    <row r="49">
      <c r="B49" s="9" t="inlineStr">
        <is>
          <t>Strai Sykehjem — Somatisk Korttidsavd.</t>
        </is>
      </c>
      <c r="C49" s="10" t="inlineStr">
        <is>
          <t>Helse og mestring</t>
        </is>
      </c>
      <c r="D49" s="11" t="n">
        <v>15999999.99</v>
      </c>
      <c r="E49" s="11" t="n">
        <v>15999999.99</v>
      </c>
      <c r="F49" s="11" t="n">
        <v>16650000.01</v>
      </c>
      <c r="G49" s="12">
        <f>E49-F49</f>
        <v/>
      </c>
      <c r="H49" s="13">
        <f>IF(F49&gt;0, E49/F49, 1.0)</f>
        <v/>
      </c>
      <c r="I49" s="14">
        <f>IF(H49&gt;0, D49/H49, D49)</f>
        <v/>
      </c>
      <c r="J49" s="12">
        <f>I49-D49</f>
        <v/>
      </c>
      <c r="K49" s="15">
        <f>IF(H49&lt;0.9, "🚨 Merforbruk &gt; 10% — Krever tiltak", "🟢 I rute")</f>
        <v/>
      </c>
    </row>
    <row r="50">
      <c r="B50" s="9" t="inlineStr">
        <is>
          <t>VAR Ingeniørvesenet — Renseanlegg Lund</t>
        </is>
      </c>
      <c r="C50" s="10" t="inlineStr">
        <is>
          <t>By- og stedsutvikling</t>
        </is>
      </c>
      <c r="D50" s="11" t="n">
        <v>140000000</v>
      </c>
      <c r="E50" s="11" t="n">
        <v>140000000</v>
      </c>
      <c r="F50" s="11" t="n">
        <v>138000000</v>
      </c>
      <c r="G50" s="12">
        <f>E50-F50</f>
        <v/>
      </c>
      <c r="H50" s="13">
        <f>IF(F50&gt;0, E50/F50, 1.0)</f>
        <v/>
      </c>
      <c r="I50" s="14">
        <f>IF(H50&gt;0, D50/H50, D50)</f>
        <v/>
      </c>
      <c r="J50" s="12">
        <f>I50-D50</f>
        <v/>
      </c>
      <c r="K50" s="15">
        <f>IF(H50&lt;0.9, "🚨 Merforbruk &gt; 10% — Krever tiltak", "🟢 I rute")</f>
        <v/>
      </c>
    </row>
    <row r="51">
      <c r="B51" s="9" t="inlineStr">
        <is>
          <t>Økonomitjenesten Byutvikling</t>
        </is>
      </c>
      <c r="C51" s="10" t="inlineStr">
        <is>
          <t>By- og stedsutvikling</t>
        </is>
      </c>
      <c r="D51" s="11" t="n">
        <v>15000000</v>
      </c>
      <c r="E51" s="11" t="n">
        <v>15000000</v>
      </c>
      <c r="F51" s="11" t="n">
        <v>15000000</v>
      </c>
      <c r="G51" s="12">
        <f>E51-F51</f>
        <v/>
      </c>
      <c r="H51" s="13">
        <f>IF(F51&gt;0, E51/F51, 1.0)</f>
        <v/>
      </c>
      <c r="I51" s="14">
        <f>IF(H51&gt;0, D51/H51, D51)</f>
        <v/>
      </c>
      <c r="J51" s="12">
        <f>I51-D51</f>
        <v/>
      </c>
      <c r="K51" s="15">
        <f>IF(H51&lt;0.9, "🚨 Merforbruk &gt; 10% — Krever tiltak", "🟢 I rute")</f>
        <v/>
      </c>
    </row>
    <row r="52">
      <c r="B52" s="9" t="inlineStr">
        <is>
          <t>Økonomitjenesten Helse</t>
        </is>
      </c>
      <c r="C52" s="10" t="inlineStr">
        <is>
          <t>Helse og mestring</t>
        </is>
      </c>
      <c r="D52" s="11" t="n">
        <v>13999999.99</v>
      </c>
      <c r="E52" s="11" t="n">
        <v>13999999.99</v>
      </c>
      <c r="F52" s="11" t="n">
        <v>14500000.01</v>
      </c>
      <c r="G52" s="12">
        <f>E52-F52</f>
        <v/>
      </c>
      <c r="H52" s="13">
        <f>IF(F52&gt;0, E52/F52, 1.0)</f>
        <v/>
      </c>
      <c r="I52" s="14">
        <f>IF(H52&gt;0, D52/H52, D52)</f>
        <v/>
      </c>
      <c r="J52" s="12">
        <f>I52-D52</f>
        <v/>
      </c>
      <c r="K52" s="15">
        <f>IF(H52&lt;0.9, "🚨 Merforbruk &gt; 10% — Krever tiltak", "🟢 I rute")</f>
        <v/>
      </c>
    </row>
    <row r="53">
      <c r="B53" s="9" t="inlineStr">
        <is>
          <t>Økonomitjenesten Kultur &amp; Felles</t>
        </is>
      </c>
      <c r="C53" s="10" t="inlineStr">
        <is>
          <t>Kultur, Dialog, Org &amp; Teknologi</t>
        </is>
      </c>
      <c r="D53" s="11" t="n">
        <v>9999999.99</v>
      </c>
      <c r="E53" s="11" t="n">
        <v>9999999.99</v>
      </c>
      <c r="F53" s="11" t="n">
        <v>9999999.99</v>
      </c>
      <c r="G53" s="12">
        <f>E53-F53</f>
        <v/>
      </c>
      <c r="H53" s="13">
        <f>IF(F53&gt;0, E53/F53, 1.0)</f>
        <v/>
      </c>
      <c r="I53" s="14">
        <f>IF(H53&gt;0, D53/H53, D53)</f>
        <v/>
      </c>
      <c r="J53" s="12">
        <f>I53-D53</f>
        <v/>
      </c>
      <c r="K53" s="15">
        <f>IF(H53&lt;0.9, "🚨 Merforbruk &gt; 10% — Krever tiltak", "🟢 I rute")</f>
        <v/>
      </c>
    </row>
    <row r="54">
      <c r="B54" s="9" t="inlineStr">
        <is>
          <t>Økonomitjenesten Oppvekst</t>
        </is>
      </c>
      <c r="C54" s="10" t="inlineStr">
        <is>
          <t>Oppvekst og utdanning</t>
        </is>
      </c>
      <c r="D54" s="11" t="n">
        <v>15000000</v>
      </c>
      <c r="E54" s="11" t="n">
        <v>15000000</v>
      </c>
      <c r="F54" s="11" t="n">
        <v>15500000</v>
      </c>
      <c r="G54" s="12">
        <f>E54-F54</f>
        <v/>
      </c>
      <c r="H54" s="13">
        <f>IF(F54&gt;0, E54/F54, 1.0)</f>
        <v/>
      </c>
      <c r="I54" s="14">
        <f>IF(H54&gt;0, D54/H54, D54)</f>
        <v/>
      </c>
      <c r="J54" s="12">
        <f>I54-D54</f>
        <v/>
      </c>
      <c r="K54" s="15">
        <f>IF(H54&lt;0.9, "🚨 Merforbruk &gt; 10% — Krever tiltak", "🟢 I rute")</f>
        <v/>
      </c>
    </row>
    <row r="55">
      <c r="B55" s="16" t="inlineStr">
        <is>
          <t>TOTALT</t>
        </is>
      </c>
      <c r="C55" s="16" t="inlineStr">
        <is>
          <t>Kristiansand Kommune</t>
        </is>
      </c>
      <c r="D55" s="17">
        <f>SUM(D12:D54)</f>
        <v/>
      </c>
      <c r="E55" s="17">
        <f>SUM(E12:E54)</f>
        <v/>
      </c>
      <c r="F55" s="17">
        <f>SUM(F12:F54)</f>
        <v/>
      </c>
      <c r="G55" s="17">
        <f>SUM(G12:G54)</f>
        <v/>
      </c>
      <c r="H55" s="18">
        <f>IF(F55&gt;0, E55/F55, 1.0)</f>
        <v/>
      </c>
      <c r="I55" s="17">
        <f>IF(H55&gt;0, D55/H55, D55)</f>
        <v/>
      </c>
      <c r="J55" s="17">
        <f>I55-D55</f>
        <v/>
      </c>
      <c r="K55" s="16" t="inlineStr">
        <is>
          <t>Konsernvurdering</t>
        </is>
      </c>
    </row>
    <row r="56"/>
    <row r="57"/>
    <row r="58">
      <c r="B58" s="7" t="inlineStr">
        <is>
          <t>ℹ️ VURDERING FRA CONTROLLER (Jf. Kommuneloven § 14-5 &amp; Handlings- og økonomiplan):</t>
        </is>
      </c>
    </row>
    <row r="59">
      <c r="B59" s="19" t="inlineStr">
        <is>
          <t>• Merforbruket i Skole (-4,1 MNOK) skyldes primært overtid og vikarforbruk utløst av høyt sykefravær ved skolestart.</t>
        </is>
      </c>
    </row>
    <row r="60">
      <c r="B60" s="19" t="inlineStr">
        <is>
          <t>• Merforbruket i Bo- og miljøtjenesten (-7,8 MNOK) er knyttet til forsinkede refusjoner for ressurskrevende tjenester fra staten samt innleie.</t>
        </is>
      </c>
    </row>
    <row r="61">
      <c r="B61" s="19" t="inlineStr">
        <is>
          <t>• Netto driftsresultat holdes under kontroll via overføring fra sentralt disposisjonsfond ved Formannskapets T2-behandling i september 2026.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22" customWidth="1" min="3" max="3"/>
    <col width="47" customWidth="1" min="4" max="4"/>
    <col width="25" customWidth="1" min="5" max="5"/>
    <col width="24" customWidth="1" min="6" max="6"/>
    <col width="24" customWidth="1" min="7" max="7"/>
    <col width="29" customWidth="1" min="8" max="8"/>
    <col width="68" customWidth="1" min="9" max="9"/>
    <col width="73" customWidth="1" min="10" max="10"/>
  </cols>
  <sheetData>
    <row r="1"/>
    <row r="2">
      <c r="B2" s="1" t="inlineStr">
        <is>
          <t>📊 KRISTIANSAND KOMMUNE — TERTIALRAPPORT T2 (AVVIKSANALYSE)</t>
        </is>
      </c>
    </row>
    <row r="3">
      <c r="B3" s="2" t="inlineStr">
        <is>
          <t>Detaljert avviksoppfølging per kostnadsart | Kilde: Visma ERP &amp; Framsikt EPM | Edward Tufte Data-Ink</t>
        </is>
      </c>
    </row>
    <row r="4"/>
    <row r="5">
      <c r="B5" s="8" t="inlineStr">
        <is>
          <t>Enhet</t>
        </is>
      </c>
      <c r="C5" s="8" t="inlineStr">
        <is>
          <t>KOSTRA Art Kode</t>
        </is>
      </c>
      <c r="D5" s="8" t="inlineStr">
        <is>
          <t>Kostnadsart Betegnelse</t>
        </is>
      </c>
      <c r="E5" s="8" t="inlineStr">
        <is>
          <t>Vedtatt Budsjett (T2)</t>
        </is>
      </c>
      <c r="F5" s="8" t="inlineStr">
        <is>
          <t>Påløpt Regnskap (T2)</t>
        </is>
      </c>
      <c r="G5" s="8" t="inlineStr">
        <is>
          <t>Avvik i Kroner (NOK)</t>
        </is>
      </c>
      <c r="H5" s="8" t="inlineStr">
        <is>
          <t>Avvik i %</t>
        </is>
      </c>
      <c r="I5" s="8" t="inlineStr">
        <is>
          <t>Avvikskategori</t>
        </is>
      </c>
      <c r="J5" s="8" t="inlineStr">
        <is>
          <t>Tiltak &amp; Anbefaling</t>
        </is>
      </c>
    </row>
    <row r="6">
      <c r="B6" s="10" t="inlineStr">
        <is>
          <t>Døgnomsorg og Sykehjem</t>
        </is>
      </c>
      <c r="C6" s="10" t="inlineStr">
        <is>
          <t>1250</t>
        </is>
      </c>
      <c r="D6" s="10" t="inlineStr">
        <is>
          <t>Ekstern rådgivning, juss og konsulenter</t>
        </is>
      </c>
      <c r="E6" s="11" t="n">
        <v>143999999.99</v>
      </c>
      <c r="F6" s="11" t="n">
        <v>162249999.99</v>
      </c>
      <c r="G6" s="12">
        <f>E6-F6</f>
        <v/>
      </c>
      <c r="H6" s="20">
        <f>IF(E6&gt;0, G6/E6, -1.0)</f>
        <v/>
      </c>
      <c r="I6" s="15">
        <f>IF(G6&lt;-1000000, "Vesentlig avvik (Rød)", "Mindre avvik (Gul)")</f>
        <v/>
      </c>
      <c r="J6" s="21" t="inlineStr">
        <is>
          <t>Stopp i ikke-kritiske innkjøp; oversendt til Framsikt rammejustering.</t>
        </is>
      </c>
    </row>
    <row r="7">
      <c r="B7" s="10" t="inlineStr">
        <is>
          <t>Grunnskoleavdelingen (28 skoler)</t>
        </is>
      </c>
      <c r="C7" s="10" t="inlineStr">
        <is>
          <t>1020</t>
        </is>
      </c>
      <c r="D7" s="10" t="inlineStr">
        <is>
          <t>Sykemeldte vikarer og kortere vikariat</t>
        </is>
      </c>
      <c r="E7" s="11" t="n">
        <v>138000000</v>
      </c>
      <c r="F7" s="11" t="n">
        <v>154800000.01</v>
      </c>
      <c r="G7" s="12">
        <f>E7-F7</f>
        <v/>
      </c>
      <c r="H7" s="20">
        <f>IF(E7&gt;0, G7/E7, -1.0)</f>
        <v/>
      </c>
      <c r="I7" s="15">
        <f>IF(G7&lt;-1000000, "Vesentlig avvik (Rød)", "Mindre avvik (Gul)")</f>
        <v/>
      </c>
      <c r="J7" s="21" t="inlineStr">
        <is>
          <t>Stopp i ikke-kritiske innkjøp; oversendt til Framsikt rammejustering.</t>
        </is>
      </c>
    </row>
    <row r="8">
      <c r="B8" s="10" t="inlineStr">
        <is>
          <t>Hjemmetjenester og rehabilitering</t>
        </is>
      </c>
      <c r="C8" s="10" t="inlineStr">
        <is>
          <t>1090</t>
        </is>
      </c>
      <c r="D8" s="10" t="inlineStr">
        <is>
          <t>Overtid og ubekvem arbeidstid</t>
        </is>
      </c>
      <c r="E8" s="11" t="n">
        <v>123000000</v>
      </c>
      <c r="F8" s="11" t="n">
        <v>134199999.99</v>
      </c>
      <c r="G8" s="12">
        <f>E8-F8</f>
        <v/>
      </c>
      <c r="H8" s="20">
        <f>IF(E8&gt;0, G8/E8, -1.0)</f>
        <v/>
      </c>
      <c r="I8" s="15">
        <f>IF(G8&lt;-1000000, "Vesentlig avvik (Rød)", "Mindre avvik (Gul)")</f>
        <v/>
      </c>
      <c r="J8" s="21" t="inlineStr">
        <is>
          <t>Stopp i ikke-kritiske innkjøp; oversendt til Framsikt rammejustering.</t>
        </is>
      </c>
    </row>
    <row r="9">
      <c r="B9" s="10" t="inlineStr">
        <is>
          <t>Barnehageavdelingen (54 barnehager)</t>
        </is>
      </c>
      <c r="C9" s="10" t="inlineStr">
        <is>
          <t>1020</t>
        </is>
      </c>
      <c r="D9" s="10" t="inlineStr">
        <is>
          <t>Sykemeldte vikarer og kortere vikariat</t>
        </is>
      </c>
      <c r="E9" s="11" t="n">
        <v>108000000.01</v>
      </c>
      <c r="F9" s="11" t="n">
        <v>119000000</v>
      </c>
      <c r="G9" s="12">
        <f>E9-F9</f>
        <v/>
      </c>
      <c r="H9" s="20">
        <f>IF(E9&gt;0, G9/E9, -1.0)</f>
        <v/>
      </c>
      <c r="I9" s="15">
        <f>IF(G9&lt;-1000000, "Vesentlig avvik (Rød)", "Mindre avvik (Gul)")</f>
        <v/>
      </c>
      <c r="J9" s="21" t="inlineStr">
        <is>
          <t>Stopp i ikke-kritiske innkjøp; oversendt til Framsikt rammejustering.</t>
        </is>
      </c>
    </row>
    <row r="10">
      <c r="B10" s="10" t="inlineStr">
        <is>
          <t>Enhet 301: Byggesak og Tilsyn</t>
        </is>
      </c>
      <c r="C10" s="10" t="inlineStr">
        <is>
          <t>1600</t>
        </is>
      </c>
      <c r="D10" s="10" t="inlineStr">
        <is>
          <t>Foreldrebetaling SFO og barnehage</t>
        </is>
      </c>
      <c r="E10" s="11" t="n">
        <v>6299999.99</v>
      </c>
      <c r="F10" s="11" t="n">
        <v>9600000</v>
      </c>
      <c r="G10" s="12">
        <f>E10-F10</f>
        <v/>
      </c>
      <c r="H10" s="20">
        <f>IF(E10&gt;0, G10/E10, -1.0)</f>
        <v/>
      </c>
      <c r="I10" s="15">
        <f>IF(G10&lt;-1000000, "Vesentlig avvik (Rød)", "Mindre avvik (Gul)")</f>
        <v/>
      </c>
      <c r="J10" s="21" t="inlineStr">
        <is>
          <t>Stopp i ikke-kritiske innkjøp; oversendt til Framsikt rammejustering.</t>
        </is>
      </c>
    </row>
    <row r="11">
      <c r="B11" s="10" t="inlineStr">
        <is>
          <t>Kommunal Skole</t>
        </is>
      </c>
      <c r="C11" s="10" t="inlineStr">
        <is>
          <t>SKOLE_FASTLØNNLÆRE</t>
        </is>
      </c>
      <c r="D11" s="10" t="inlineStr">
        <is>
          <t>Fast lønn lærere</t>
        </is>
      </c>
      <c r="E11" s="11" t="n">
        <v>15729000</v>
      </c>
      <c r="F11" s="11" t="n">
        <v>18197000</v>
      </c>
      <c r="G11" s="12">
        <f>E11-F11</f>
        <v/>
      </c>
      <c r="H11" s="20">
        <f>IF(E11&gt;0, G11/E11, -1.0)</f>
        <v/>
      </c>
      <c r="I11" s="15">
        <f>IF(G11&lt;-1000000, "Vesentlig avvik (Rød)", "Mindre avvik (Gul)")</f>
        <v/>
      </c>
      <c r="J11" s="21" t="inlineStr">
        <is>
          <t>Stopp i ikke-kritiske innkjøp; oversendt til Framsikt rammejustering.</t>
        </is>
      </c>
    </row>
    <row r="12">
      <c r="B12" s="10" t="inlineStr">
        <is>
          <t>Enhet 403: Sørlandsparken Bo- og Miljøtjeneste</t>
        </is>
      </c>
      <c r="C12" s="10" t="inlineStr">
        <is>
          <t>1250</t>
        </is>
      </c>
      <c r="D12" s="10" t="inlineStr">
        <is>
          <t>Ekstern rådgivning, juss og konsulenter</t>
        </is>
      </c>
      <c r="E12" s="11" t="n">
        <v>7199999.99</v>
      </c>
      <c r="F12" s="11" t="n">
        <v>9600000</v>
      </c>
      <c r="G12" s="12">
        <f>E12-F12</f>
        <v/>
      </c>
      <c r="H12" s="20">
        <f>IF(E12&gt;0, G12/E12, -1.0)</f>
        <v/>
      </c>
      <c r="I12" s="15">
        <f>IF(G12&lt;-1000000, "Vesentlig avvik (Rød)", "Mindre avvik (Gul)")</f>
        <v/>
      </c>
      <c r="J12" s="21" t="inlineStr">
        <is>
          <t>Stopp i ikke-kritiske innkjøp; oversendt til Framsikt rammejustering.</t>
        </is>
      </c>
    </row>
    <row r="13">
      <c r="B13" s="10" t="inlineStr">
        <is>
          <t>Enhet 401: Strai Sykehjem &amp; Omsorgsboliger</t>
        </is>
      </c>
      <c r="C13" s="10" t="inlineStr">
        <is>
          <t>1090</t>
        </is>
      </c>
      <c r="D13" s="10" t="inlineStr">
        <is>
          <t>Overtid og ubekvem arbeidstid</t>
        </is>
      </c>
      <c r="E13" s="11" t="n">
        <v>9299999.99</v>
      </c>
      <c r="F13" s="11" t="n">
        <v>11650000</v>
      </c>
      <c r="G13" s="12">
        <f>E13-F13</f>
        <v/>
      </c>
      <c r="H13" s="20">
        <f>IF(E13&gt;0, G13/E13, -1.0)</f>
        <v/>
      </c>
      <c r="I13" s="15">
        <f>IF(G13&lt;-1000000, "Vesentlig avvik (Rød)", "Mindre avvik (Gul)")</f>
        <v/>
      </c>
      <c r="J13" s="21" t="inlineStr">
        <is>
          <t>Stopp i ikke-kritiske innkjøp; oversendt til Framsikt rammejustering.</t>
        </is>
      </c>
    </row>
    <row r="14">
      <c r="B14" s="10" t="inlineStr">
        <is>
          <t>Enhet 404: Presteheia Omsorgssenter</t>
        </is>
      </c>
      <c r="C14" s="10" t="inlineStr">
        <is>
          <t>1090</t>
        </is>
      </c>
      <c r="D14" s="10" t="inlineStr">
        <is>
          <t>Overtid og ubekvem arbeidstid</t>
        </is>
      </c>
      <c r="E14" s="11" t="n">
        <v>10200000</v>
      </c>
      <c r="F14" s="11" t="n">
        <v>12299999.99</v>
      </c>
      <c r="G14" s="12">
        <f>E14-F14</f>
        <v/>
      </c>
      <c r="H14" s="20">
        <f>IF(E14&gt;0, G14/E14, -1.0)</f>
        <v/>
      </c>
      <c r="I14" s="15">
        <f>IF(G14&lt;-1000000, "Vesentlig avvik (Rød)", "Mindre avvik (Gul)")</f>
        <v/>
      </c>
      <c r="J14" s="21" t="inlineStr">
        <is>
          <t>Stopp i ikke-kritiske innkjøp; oversendt til Framsikt rammejustering.</t>
        </is>
      </c>
    </row>
    <row r="15">
      <c r="B15" s="10" t="inlineStr">
        <is>
          <t>Enhet 402: Hjemmetjenesten Vågsbygd</t>
        </is>
      </c>
      <c r="C15" s="10" t="inlineStr">
        <is>
          <t>1020</t>
        </is>
      </c>
      <c r="D15" s="10" t="inlineStr">
        <is>
          <t>Sykemeldte vikarer og kortere vikariat</t>
        </is>
      </c>
      <c r="E15" s="11" t="n">
        <v>8250000</v>
      </c>
      <c r="F15" s="11" t="n">
        <v>10049999.99</v>
      </c>
      <c r="G15" s="12">
        <f>E15-F15</f>
        <v/>
      </c>
      <c r="H15" s="20">
        <f>IF(E15&gt;0, G15/E15, -1.0)</f>
        <v/>
      </c>
      <c r="I15" s="15">
        <f>IF(G15&lt;-1000000, "Vesentlig avvik (Rød)", "Mindre avvik (Gul)")</f>
        <v/>
      </c>
      <c r="J15" s="21" t="inlineStr">
        <is>
          <t>Stopp i ikke-kritiske innkjøp; oversendt til Framsikt rammejustering.</t>
        </is>
      </c>
    </row>
    <row r="16">
      <c r="B16" s="10" t="inlineStr">
        <is>
          <t>Enhet 203: Vågsbygd Skole</t>
        </is>
      </c>
      <c r="C16" s="10" t="inlineStr">
        <is>
          <t>1020</t>
        </is>
      </c>
      <c r="D16" s="10" t="inlineStr">
        <is>
          <t>Sykemeldte vikarer og kortere vikariat</t>
        </is>
      </c>
      <c r="E16" s="11" t="n">
        <v>6299999.99</v>
      </c>
      <c r="F16" s="11" t="n">
        <v>7950000</v>
      </c>
      <c r="G16" s="12">
        <f>E16-F16</f>
        <v/>
      </c>
      <c r="H16" s="20">
        <f>IF(E16&gt;0, G16/E16, -1.0)</f>
        <v/>
      </c>
      <c r="I16" s="15">
        <f>IF(G16&lt;-1000000, "Vesentlig avvik (Rød)", "Mindre avvik (Gul)")</f>
        <v/>
      </c>
      <c r="J16" s="21" t="inlineStr">
        <is>
          <t>Stopp i ikke-kritiske innkjøp; oversendt til Framsikt rammejustering.</t>
        </is>
      </c>
    </row>
    <row r="17">
      <c r="B17" s="10" t="inlineStr">
        <is>
          <t>Kommunalsjefens stab Byutvikling</t>
        </is>
      </c>
      <c r="C17" s="10" t="inlineStr">
        <is>
          <t>1270</t>
        </is>
      </c>
      <c r="D17" s="10" t="inlineStr">
        <is>
          <t>Kjøp fra private og næringsliv</t>
        </is>
      </c>
      <c r="E17" s="11" t="n">
        <v>26999999.99</v>
      </c>
      <c r="F17" s="11" t="n">
        <v>28500000.01</v>
      </c>
      <c r="G17" s="12">
        <f>E17-F17</f>
        <v/>
      </c>
      <c r="H17" s="20">
        <f>IF(E17&gt;0, G17/E17, -1.0)</f>
        <v/>
      </c>
      <c r="I17" s="15">
        <f>IF(G17&lt;-1000000, "Vesentlig avvik (Rød)", "Mindre avvik (Gul)")</f>
        <v/>
      </c>
      <c r="J17" s="21" t="inlineStr">
        <is>
          <t>Stopp i ikke-kritiske innkjøp; oversendt til Framsikt rammejustering.</t>
        </is>
      </c>
    </row>
    <row r="18">
      <c r="B18" s="10" t="inlineStr">
        <is>
          <t>Enhet 202: Lovisenlev Skole</t>
        </is>
      </c>
      <c r="C18" s="10" t="inlineStr">
        <is>
          <t>1020</t>
        </is>
      </c>
      <c r="D18" s="10" t="inlineStr">
        <is>
          <t>Sykemeldte vikarer og kortere vikariat</t>
        </is>
      </c>
      <c r="E18" s="11" t="n">
        <v>5700000</v>
      </c>
      <c r="F18" s="11" t="n">
        <v>7149999.99</v>
      </c>
      <c r="G18" s="12">
        <f>E18-F18</f>
        <v/>
      </c>
      <c r="H18" s="20">
        <f>IF(E18&gt;0, G18/E18, -1.0)</f>
        <v/>
      </c>
      <c r="I18" s="15">
        <f>IF(G18&lt;-1000000, "Vesentlig avvik (Rød)", "Mindre avvik (Gul)")</f>
        <v/>
      </c>
      <c r="J18" s="21" t="inlineStr">
        <is>
          <t>Stopp i ikke-kritiske innkjøp; oversendt til Framsikt rammejustering.</t>
        </is>
      </c>
    </row>
    <row r="19">
      <c r="B19" s="10" t="inlineStr">
        <is>
          <t>Enhet 204: Grim Ungdomsskole</t>
        </is>
      </c>
      <c r="C19" s="10" t="inlineStr">
        <is>
          <t>1020</t>
        </is>
      </c>
      <c r="D19" s="10" t="inlineStr">
        <is>
          <t>Sykemeldte vikarer og kortere vikariat</t>
        </is>
      </c>
      <c r="E19" s="11" t="n">
        <v>6749999.99</v>
      </c>
      <c r="F19" s="11" t="n">
        <v>7950000</v>
      </c>
      <c r="G19" s="12">
        <f>E19-F19</f>
        <v/>
      </c>
      <c r="H19" s="20">
        <f>IF(E19&gt;0, G19/E19, -1.0)</f>
        <v/>
      </c>
      <c r="I19" s="15">
        <f>IF(G19&lt;-1000000, "Vesentlig avvik (Rød)", "Mindre avvik (Gul)")</f>
        <v/>
      </c>
      <c r="J19" s="21" t="inlineStr">
        <is>
          <t>Stopp i ikke-kritiske innkjøp; oversendt til Framsikt rammejustering.</t>
        </is>
      </c>
    </row>
    <row r="20">
      <c r="B20" s="10" t="inlineStr">
        <is>
          <t>Enhet 211: Lund Kommunale Barnehage</t>
        </is>
      </c>
      <c r="C20" s="10" t="inlineStr">
        <is>
          <t>1020</t>
        </is>
      </c>
      <c r="D20" s="10" t="inlineStr">
        <is>
          <t>Sykemeldte vikarer og kortere vikariat</t>
        </is>
      </c>
      <c r="E20" s="11" t="n">
        <v>4199999.99</v>
      </c>
      <c r="F20" s="11" t="n">
        <v>5349999.99</v>
      </c>
      <c r="G20" s="12">
        <f>E20-F20</f>
        <v/>
      </c>
      <c r="H20" s="20">
        <f>IF(E20&gt;0, G20/E20, -1.0)</f>
        <v/>
      </c>
      <c r="I20" s="15">
        <f>IF(G20&lt;-1000000, "Vesentlig avvik (Rød)", "Mindre avvik (Gul)")</f>
        <v/>
      </c>
      <c r="J20" s="21" t="inlineStr">
        <is>
          <t>Stopp i ikke-kritiske innkjøp; oversendt til Framsikt rammejustering.</t>
        </is>
      </c>
    </row>
    <row r="21">
      <c r="B21" s="10" t="inlineStr">
        <is>
          <t>Kommunal Boenhet (Enhet 2540)</t>
        </is>
      </c>
      <c r="C21" s="10" t="inlineStr">
        <is>
          <t>1090</t>
        </is>
      </c>
      <c r="D21" s="10" t="inlineStr">
        <is>
          <t>Overtid og ubekvem arbeidstid</t>
        </is>
      </c>
      <c r="E21" s="11" t="n">
        <v>2175000.01</v>
      </c>
      <c r="F21" s="11" t="n">
        <v>3324999.99</v>
      </c>
      <c r="G21" s="12">
        <f>E21-F21</f>
        <v/>
      </c>
      <c r="H21" s="20">
        <f>IF(E21&gt;0, G21/E21, -1.0)</f>
        <v/>
      </c>
      <c r="I21" s="15">
        <f>IF(G21&lt;-1000000, "Vesentlig avvik (Rød)", "Mindre avvik (Gul)")</f>
        <v/>
      </c>
      <c r="J21" s="21" t="inlineStr">
        <is>
          <t>Stopp i ikke-kritiske innkjøp; oversendt til Framsikt rammejustering.</t>
        </is>
      </c>
    </row>
    <row r="22">
      <c r="B22" s="10" t="inlineStr">
        <is>
          <t>Kommunalsjefens fagstab Helse</t>
        </is>
      </c>
      <c r="C22" s="10" t="inlineStr">
        <is>
          <t>1150</t>
        </is>
      </c>
      <c r="D22" s="10" t="inlineStr">
        <is>
          <t>Kursavgifter og etterutdanning</t>
        </is>
      </c>
      <c r="E22" s="11" t="n">
        <v>3674999.99</v>
      </c>
      <c r="F22" s="11" t="n">
        <v>4474999.99</v>
      </c>
      <c r="G22" s="12">
        <f>E22-F22</f>
        <v/>
      </c>
      <c r="H22" s="20">
        <f>IF(E22&gt;0, G22/E22, -1.0)</f>
        <v/>
      </c>
      <c r="I22" s="15">
        <f>IF(G22&lt;-1000000, "Vesentlig avvik (Rød)", "Mindre avvik (Gul)")</f>
        <v/>
      </c>
      <c r="J22" s="21" t="inlineStr">
        <is>
          <t>Stopp i ikke-kritiske innkjøp; oversendt til Framsikt rammejustering.</t>
        </is>
      </c>
    </row>
    <row r="23">
      <c r="B23" s="10" t="inlineStr">
        <is>
          <t>Strai Sykehjem — Avd. Demens</t>
        </is>
      </c>
      <c r="C23" s="10" t="inlineStr">
        <is>
          <t>1090</t>
        </is>
      </c>
      <c r="D23" s="10" t="inlineStr">
        <is>
          <t>Overtid og ubekvem arbeidstid</t>
        </is>
      </c>
      <c r="E23" s="11" t="n">
        <v>2700000.01</v>
      </c>
      <c r="F23" s="11" t="n">
        <v>3500000.01</v>
      </c>
      <c r="G23" s="12">
        <f>E23-F23</f>
        <v/>
      </c>
      <c r="H23" s="20">
        <f>IF(E23&gt;0, G23/E23, -1.0)</f>
        <v/>
      </c>
      <c r="I23" s="15">
        <f>IF(G23&lt;-1000000, "Vesentlig avvik (Rød)", "Mindre avvik (Gul)")</f>
        <v/>
      </c>
      <c r="J23" s="21" t="inlineStr">
        <is>
          <t>Stopp i ikke-kritiske innkjøp; oversendt til Framsikt rammejustering.</t>
        </is>
      </c>
    </row>
    <row r="24">
      <c r="B24" s="10" t="inlineStr">
        <is>
          <t>Strai Sykehjem — Somatisk Korttidsavd.</t>
        </is>
      </c>
      <c r="C24" s="10" t="inlineStr">
        <is>
          <t>1200</t>
        </is>
      </c>
      <c r="D24" s="10" t="inlineStr">
        <is>
          <t>Driftsrekvisita, verneutstyr og kjemikalier</t>
        </is>
      </c>
      <c r="E24" s="11" t="n">
        <v>2399999.99</v>
      </c>
      <c r="F24" s="11" t="n">
        <v>3050000.01</v>
      </c>
      <c r="G24" s="12">
        <f>E24-F24</f>
        <v/>
      </c>
      <c r="H24" s="20">
        <f>IF(E24&gt;0, G24/E24, -1.0)</f>
        <v/>
      </c>
      <c r="I24" s="15">
        <f>IF(G24&lt;-1000000, "Vesentlig avvik (Rød)", "Mindre avvik (Gul)")</f>
        <v/>
      </c>
      <c r="J24" s="21" t="inlineStr">
        <is>
          <t>Stopp i ikke-kritiske innkjøp; oversendt til Framsikt rammejustering.</t>
        </is>
      </c>
    </row>
    <row r="25">
      <c r="B25" s="10" t="inlineStr">
        <is>
          <t>Kommunal Skole</t>
        </is>
      </c>
      <c r="C25" s="10" t="inlineStr">
        <is>
          <t>SKOLE_LØNNTILVIKAR</t>
        </is>
      </c>
      <c r="D25" s="10" t="inlineStr">
        <is>
          <t>Lønn til vikarer</t>
        </is>
      </c>
      <c r="E25" s="11" t="n">
        <v>202000</v>
      </c>
      <c r="F25" s="11" t="n">
        <v>847000</v>
      </c>
      <c r="G25" s="12">
        <f>E25-F25</f>
        <v/>
      </c>
      <c r="H25" s="20">
        <f>IF(E25&gt;0, G25/E25, -1.0)</f>
        <v/>
      </c>
      <c r="I25" s="15">
        <f>IF(G25&lt;-1000000, "Vesentlig avvik (Rød)", "Mindre avvik (Gul)")</f>
        <v/>
      </c>
      <c r="J25" s="21" t="inlineStr">
        <is>
          <t>Stopp i ikke-kritiske innkjøp; oversendt til Framsikt rammejustering.</t>
        </is>
      </c>
    </row>
    <row r="26">
      <c r="B26" s="10" t="inlineStr">
        <is>
          <t>Økonomitjenesten Helse</t>
        </is>
      </c>
      <c r="C26" s="10" t="inlineStr">
        <is>
          <t>1250</t>
        </is>
      </c>
      <c r="D26" s="10" t="inlineStr">
        <is>
          <t>Ekstern rådgivning, juss og konsulenter</t>
        </is>
      </c>
      <c r="E26" s="11" t="n">
        <v>2099999.99</v>
      </c>
      <c r="F26" s="11" t="n">
        <v>2600000.01</v>
      </c>
      <c r="G26" s="12">
        <f>E26-F26</f>
        <v/>
      </c>
      <c r="H26" s="20">
        <f>IF(E26&gt;0, G26/E26, -1.0)</f>
        <v/>
      </c>
      <c r="I26" s="15">
        <f>IF(G26&lt;-1000000, "Vesentlig avvik (Rød)", "Mindre avvik (Gul)")</f>
        <v/>
      </c>
      <c r="J26" s="21" t="inlineStr">
        <is>
          <t>Stopp i ikke-kritiske innkjøp; oversendt til Framsikt rammejustering.</t>
        </is>
      </c>
    </row>
    <row r="27">
      <c r="B27" s="10" t="inlineStr">
        <is>
          <t>Kommunalsjefens fagstab Oppvekst</t>
        </is>
      </c>
      <c r="C27" s="10" t="inlineStr">
        <is>
          <t>1150</t>
        </is>
      </c>
      <c r="D27" s="10" t="inlineStr">
        <is>
          <t>Kursavgifter og etterutdanning</t>
        </is>
      </c>
      <c r="E27" s="11" t="n">
        <v>3299999.99</v>
      </c>
      <c r="F27" s="11" t="n">
        <v>3800000</v>
      </c>
      <c r="G27" s="12">
        <f>E27-F27</f>
        <v/>
      </c>
      <c r="H27" s="20">
        <f>IF(E27&gt;0, G27/E27, -1.0)</f>
        <v/>
      </c>
      <c r="I27" s="15">
        <f>IF(G27&lt;-1000000, "Vesentlig avvik (Rød)", "Mindre avvik (Gul)")</f>
        <v/>
      </c>
      <c r="J27" s="21" t="inlineStr">
        <is>
          <t>Stopp i ikke-kritiske innkjøp; oversendt til Framsikt rammejustering.</t>
        </is>
      </c>
    </row>
    <row r="28">
      <c r="B28" s="10" t="inlineStr">
        <is>
          <t>Økonomitjenesten Oppvekst</t>
        </is>
      </c>
      <c r="C28" s="10" t="inlineStr">
        <is>
          <t>1250</t>
        </is>
      </c>
      <c r="D28" s="10" t="inlineStr">
        <is>
          <t>Ekstern rådgivning, juss og konsulenter</t>
        </is>
      </c>
      <c r="E28" s="11" t="n">
        <v>2250000</v>
      </c>
      <c r="F28" s="11" t="n">
        <v>2750000</v>
      </c>
      <c r="G28" s="12">
        <f>E28-F28</f>
        <v/>
      </c>
      <c r="H28" s="20">
        <f>IF(E28&gt;0, G28/E28, -1.0)</f>
        <v/>
      </c>
      <c r="I28" s="15">
        <f>IF(G28&lt;-1000000, "Vesentlig avvik (Rød)", "Mindre avvik (Gul)")</f>
        <v/>
      </c>
      <c r="J28" s="21" t="inlineStr">
        <is>
          <t>Stopp i ikke-kritiske innkjøp; oversendt til Framsikt rammejustering.</t>
        </is>
      </c>
    </row>
    <row r="29">
      <c r="B29" s="10" t="inlineStr">
        <is>
          <t>Kommunal Skole</t>
        </is>
      </c>
      <c r="C29" s="10" t="inlineStr">
        <is>
          <t>SKOLE_ARBEIDSGIVER</t>
        </is>
      </c>
      <c r="D29" s="10" t="inlineStr">
        <is>
          <t>Arbeidsgiveravgift</t>
        </is>
      </c>
      <c r="E29" s="11" t="n">
        <v>3785000</v>
      </c>
      <c r="F29" s="11" t="n">
        <v>4216000</v>
      </c>
      <c r="G29" s="12">
        <f>E29-F29</f>
        <v/>
      </c>
      <c r="H29" s="20">
        <f>IF(E29&gt;0, G29/E29, -1.0)</f>
        <v/>
      </c>
      <c r="I29" s="15">
        <f>IF(G29&lt;-1000000, "Vesentlig avvik (Rød)", "Mindre avvik (Gul)")</f>
        <v/>
      </c>
      <c r="J29" s="21" t="inlineStr">
        <is>
          <t>Stopp i ikke-kritiske innkjøp; oversendt til Framsikt rammejustering.</t>
        </is>
      </c>
    </row>
    <row r="30">
      <c r="B30" s="10" t="inlineStr">
        <is>
          <t>Lovisenlev Skole — Småtrinnet</t>
        </is>
      </c>
      <c r="C30" s="10" t="inlineStr">
        <is>
          <t>1115</t>
        </is>
      </c>
      <c r="D30" s="10" t="inlineStr">
        <is>
          <t>Lærebøker og digitale læremidler</t>
        </is>
      </c>
      <c r="E30" s="11" t="n">
        <v>2099999.99</v>
      </c>
      <c r="F30" s="11" t="n">
        <v>2499999.99</v>
      </c>
      <c r="G30" s="12">
        <f>E30-F30</f>
        <v/>
      </c>
      <c r="H30" s="20">
        <f>IF(E30&gt;0, G30/E30, -1.0)</f>
        <v/>
      </c>
      <c r="I30" s="15">
        <f>IF(G30&lt;-1000000, "Vesentlig avvik (Rød)", "Mindre avvik (Gul)")</f>
        <v/>
      </c>
      <c r="J30" s="21" t="inlineStr">
        <is>
          <t>Stopp i ikke-kritiske innkjøp; oversendt til Framsikt rammejustering.</t>
        </is>
      </c>
    </row>
    <row r="31">
      <c r="B31" s="16" t="inlineStr">
        <is>
          <t>SUM VESENTLIGE AVVIK</t>
        </is>
      </c>
      <c r="C31" s="16" t="inlineStr">
        <is>
          <t>-</t>
        </is>
      </c>
      <c r="D31" s="16" t="inlineStr">
        <is>
          <t>Aggregerte kritiske poster</t>
        </is>
      </c>
      <c r="E31" s="17">
        <f>SUM(E6:E30)</f>
        <v/>
      </c>
      <c r="F31" s="17">
        <f>SUM(F6:F30)</f>
        <v/>
      </c>
      <c r="G31" s="17">
        <f>SUM(G6:G30)</f>
        <v/>
      </c>
      <c r="H31" s="22">
        <f>IF(E31&gt;0, G31/E31, -1.0)</f>
        <v/>
      </c>
      <c r="I31" s="16" t="inlineStr">
        <is>
          <t>Tiltak iverksatt</t>
        </is>
      </c>
      <c r="J31" s="16" t="inlineStr">
        <is>
          <t>Omdisponeringssak til Bystyret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9" customWidth="1" min="3" max="3"/>
    <col width="39" customWidth="1" min="4" max="4"/>
    <col width="23" customWidth="1" min="5" max="5"/>
    <col width="23" customWidth="1" min="6" max="6"/>
    <col width="23" customWidth="1" min="7" max="7"/>
    <col width="23" customWidth="1" min="8" max="8"/>
    <col width="22" customWidth="1" min="9" max="9"/>
    <col width="24" customWidth="1" min="10" max="10"/>
    <col width="28" customWidth="1" min="11" max="11"/>
    <col width="28" customWidth="1" min="12" max="12"/>
    <col width="28" customWidth="1" min="13" max="13"/>
    <col width="21" customWidth="1" min="14" max="14"/>
    <col width="28" customWidth="1" min="15" max="15"/>
    <col width="33" customWidth="1" min="16" max="16"/>
  </cols>
  <sheetData>
    <row r="1"/>
    <row r="2">
      <c r="B2" s="1" t="inlineStr">
        <is>
          <t>🏗️ KRISTIANSAND KOMMUNE — PROSJEKTKONTROLL &amp; EVM MODELL</t>
        </is>
      </c>
    </row>
    <row r="3">
      <c r="B3" s="2" t="inlineStr">
        <is>
          <t>Earned Value Management (BAC, PV, EV, AC, CPI, SPI, EAC, ETC) | Investeringsportefølje 2026–2029</t>
        </is>
      </c>
    </row>
    <row r="4"/>
    <row r="5">
      <c r="B5" s="23" t="inlineStr">
        <is>
          <t>Prosjekt-ID</t>
        </is>
      </c>
      <c r="C5" s="23" t="inlineStr">
        <is>
          <t>Prosjektnavn</t>
        </is>
      </c>
      <c r="D5" s="23" t="inlineStr">
        <is>
          <t>Prosjektleder</t>
        </is>
      </c>
      <c r="E5" s="23" t="inlineStr">
        <is>
          <t>Sluttbudsjett (BAC)</t>
        </is>
      </c>
      <c r="F5" s="23" t="inlineStr">
        <is>
          <t>Planlagt Verdi (PV)</t>
        </is>
      </c>
      <c r="G5" s="23" t="inlineStr">
        <is>
          <t>Opptjent Verdi (EV)</t>
        </is>
      </c>
      <c r="H5" s="23" t="inlineStr">
        <is>
          <t>Påløpt Kostnad (AC)</t>
        </is>
      </c>
      <c r="I5" s="23" t="inlineStr">
        <is>
          <t>Kostnadsavvik (CV)</t>
        </is>
      </c>
      <c r="J5" s="23" t="inlineStr">
        <is>
          <t>Fremdriftsavvik (SV)</t>
        </is>
      </c>
      <c r="K5" s="23" t="inlineStr">
        <is>
          <t>Kostnadsindeks (CPI)</t>
        </is>
      </c>
      <c r="L5" s="23" t="inlineStr">
        <is>
          <t>Fremdriftsindeks (SPI)</t>
        </is>
      </c>
      <c r="M5" s="23" t="inlineStr">
        <is>
          <t>Sluttprognose (EAC)</t>
        </is>
      </c>
      <c r="N5" s="23" t="inlineStr">
        <is>
          <t>Gjenstående (ETC)</t>
        </is>
      </c>
      <c r="O5" s="23" t="inlineStr">
        <is>
          <t>Sluttoverskridelse (VAC)</t>
        </is>
      </c>
      <c r="P5" s="23" t="inlineStr">
        <is>
          <t>Risikovurdering</t>
        </is>
      </c>
    </row>
    <row r="6">
      <c r="B6" s="9" t="inlineStr">
        <is>
          <t>PROJ-101</t>
        </is>
      </c>
      <c r="C6" s="10" t="inlineStr">
        <is>
          <t>Ny Barneskole Vågsbygd (Trinn 1-7)</t>
        </is>
      </c>
      <c r="D6" s="24" t="inlineStr">
        <is>
          <t>Lars Hansen (Bygg)</t>
        </is>
      </c>
      <c r="E6" s="25" t="n">
        <v>185000000</v>
      </c>
      <c r="F6" s="25" t="n">
        <v>110000000</v>
      </c>
      <c r="G6" s="25" t="n">
        <v>104500000</v>
      </c>
      <c r="H6" s="25" t="n">
        <v>115000000</v>
      </c>
      <c r="I6" s="14">
        <f>G6-H6</f>
        <v/>
      </c>
      <c r="J6" s="11">
        <f>G6-F6</f>
        <v/>
      </c>
      <c r="K6" s="13">
        <f>IF(H6&gt;0, G6/H6, 1.0)</f>
        <v/>
      </c>
      <c r="L6" s="13">
        <f>IF(F6&gt;0, G6/F6, 1.0)</f>
        <v/>
      </c>
      <c r="M6" s="14">
        <f>IF(K6&gt;0, E6/K6, E6)</f>
        <v/>
      </c>
      <c r="N6" s="25">
        <f>M6-H6</f>
        <v/>
      </c>
      <c r="O6" s="12">
        <f>E6-M6</f>
        <v/>
      </c>
      <c r="P6" s="26" t="inlineStr">
        <is>
          <t>Middels risiko</t>
        </is>
      </c>
    </row>
    <row r="7">
      <c r="B7" s="9" t="inlineStr">
        <is>
          <t>PROJ-102</t>
        </is>
      </c>
      <c r="C7" s="10" t="inlineStr">
        <is>
          <t>Rehabilitering Lund Ungdomsskole</t>
        </is>
      </c>
      <c r="D7" s="24" t="inlineStr">
        <is>
          <t>Kari Vik (Eiendom)</t>
        </is>
      </c>
      <c r="E7" s="25" t="n">
        <v>64000000</v>
      </c>
      <c r="F7" s="25" t="n">
        <v>42000000</v>
      </c>
      <c r="G7" s="25" t="n">
        <v>41000000</v>
      </c>
      <c r="H7" s="25" t="n">
        <v>44200000</v>
      </c>
      <c r="I7" s="14">
        <f>G7-H7</f>
        <v/>
      </c>
      <c r="J7" s="11">
        <f>G7-F7</f>
        <v/>
      </c>
      <c r="K7" s="13">
        <f>IF(H7&gt;0, G7/H7, 1.0)</f>
        <v/>
      </c>
      <c r="L7" s="13">
        <f>IF(F7&gt;0, G7/F7, 1.0)</f>
        <v/>
      </c>
      <c r="M7" s="14">
        <f>IF(K7&gt;0, E7/K7, E7)</f>
        <v/>
      </c>
      <c r="N7" s="25">
        <f>M7-H7</f>
        <v/>
      </c>
      <c r="O7" s="12">
        <f>E7-M7</f>
        <v/>
      </c>
      <c r="P7" s="26" t="inlineStr">
        <is>
          <t>Lav risiko</t>
        </is>
      </c>
    </row>
    <row r="8">
      <c r="B8" s="9" t="inlineStr">
        <is>
          <t>PROJ-201</t>
        </is>
      </c>
      <c r="C8" s="10" t="inlineStr">
        <is>
          <t>Bo- og Behandlingssenter Randesund</t>
        </is>
      </c>
      <c r="D8" s="24" t="inlineStr">
        <is>
          <t>Erik Dahl (Helsebygg)</t>
        </is>
      </c>
      <c r="E8" s="25" t="n">
        <v>240000000</v>
      </c>
      <c r="F8" s="25" t="n">
        <v>160000000</v>
      </c>
      <c r="G8" s="25" t="n">
        <v>142000000</v>
      </c>
      <c r="H8" s="25" t="n">
        <v>168500000</v>
      </c>
      <c r="I8" s="14">
        <f>G8-H8</f>
        <v/>
      </c>
      <c r="J8" s="11">
        <f>G8-F8</f>
        <v/>
      </c>
      <c r="K8" s="13">
        <f>IF(H8&gt;0, G8/H8, 1.0)</f>
        <v/>
      </c>
      <c r="L8" s="13">
        <f>IF(F8&gt;0, G8/F8, 1.0)</f>
        <v/>
      </c>
      <c r="M8" s="14">
        <f>IF(K8&gt;0, E8/K8, E8)</f>
        <v/>
      </c>
      <c r="N8" s="25">
        <f>M8-H8</f>
        <v/>
      </c>
      <c r="O8" s="12">
        <f>E8-M8</f>
        <v/>
      </c>
      <c r="P8" s="15" t="inlineStr">
        <is>
          <t>HØY RISIKO (Fremdrift)</t>
        </is>
      </c>
    </row>
    <row r="9">
      <c r="B9" s="9" t="inlineStr">
        <is>
          <t>PROJ-301</t>
        </is>
      </c>
      <c r="C9" s="10" t="inlineStr">
        <is>
          <t>Hovedvannledning &amp; VA-oppgradering (Selvkost)</t>
        </is>
      </c>
      <c r="D9" s="24" t="inlineStr">
        <is>
          <t>Ole Moe (Ingeniørvesen)</t>
        </is>
      </c>
      <c r="E9" s="25" t="n">
        <v>92000000</v>
      </c>
      <c r="F9" s="25" t="n">
        <v>65000000</v>
      </c>
      <c r="G9" s="25" t="n">
        <v>64800000</v>
      </c>
      <c r="H9" s="25" t="n">
        <v>63100000</v>
      </c>
      <c r="I9" s="14">
        <f>G9-H9</f>
        <v/>
      </c>
      <c r="J9" s="11">
        <f>G9-F9</f>
        <v/>
      </c>
      <c r="K9" s="13">
        <f>IF(H9&gt;0, G9/H9, 1.0)</f>
        <v/>
      </c>
      <c r="L9" s="13">
        <f>IF(F9&gt;0, G9/F9, 1.0)</f>
        <v/>
      </c>
      <c r="M9" s="14">
        <f>IF(K9&gt;0, E9/K9, E9)</f>
        <v/>
      </c>
      <c r="N9" s="25">
        <f>M9-H9</f>
        <v/>
      </c>
      <c r="O9" s="12">
        <f>E9-M9</f>
        <v/>
      </c>
      <c r="P9" s="26" t="inlineStr">
        <is>
          <t>I rute / God kostnadskontroll</t>
        </is>
      </c>
    </row>
    <row r="10">
      <c r="B10" s="9" t="inlineStr">
        <is>
          <t>PROJ-401</t>
        </is>
      </c>
      <c r="C10" s="10" t="inlineStr">
        <is>
          <t>Digitalisering, RAG Hub &amp; Vektorarkiv</t>
        </is>
      </c>
      <c r="D10" s="24" t="inlineStr">
        <is>
          <t>Frank Ellingsen (Senior Controller)</t>
        </is>
      </c>
      <c r="E10" s="25" t="n">
        <v>12500000</v>
      </c>
      <c r="F10" s="25" t="n">
        <v>8500000</v>
      </c>
      <c r="G10" s="25" t="n">
        <v>9200000</v>
      </c>
      <c r="H10" s="25" t="n">
        <v>8100000</v>
      </c>
      <c r="I10" s="14">
        <f>G10-H10</f>
        <v/>
      </c>
      <c r="J10" s="11">
        <f>G10-F10</f>
        <v/>
      </c>
      <c r="K10" s="13">
        <f>IF(H10&gt;0, G10/H10, 1.0)</f>
        <v/>
      </c>
      <c r="L10" s="13">
        <f>IF(F10&gt;0, G10/F10, 1.0)</f>
        <v/>
      </c>
      <c r="M10" s="14">
        <f>IF(K10&gt;0, E10/K10, E10)</f>
        <v/>
      </c>
      <c r="N10" s="25">
        <f>M10-H10</f>
        <v/>
      </c>
      <c r="O10" s="12">
        <f>E10-M10</f>
        <v/>
      </c>
      <c r="P10" s="27" t="inlineStr">
        <is>
          <t>Meget effektiv (CPI &gt; 1.1)</t>
        </is>
      </c>
    </row>
    <row r="11">
      <c r="B11" s="9" t="inlineStr">
        <is>
          <t>PROJ-501</t>
        </is>
      </c>
      <c r="C11" s="10" t="inlineStr">
        <is>
          <t>Klimatilpasning &amp; Flomsikring Otra</t>
        </is>
      </c>
      <c r="D11" s="24" t="inlineStr">
        <is>
          <t>Astrid Lie (Plan &amp; Bygg)</t>
        </is>
      </c>
      <c r="E11" s="25" t="n">
        <v>48000000</v>
      </c>
      <c r="F11" s="25" t="n">
        <v>22000000</v>
      </c>
      <c r="G11" s="25" t="n">
        <v>20500000</v>
      </c>
      <c r="H11" s="25" t="n">
        <v>23800000</v>
      </c>
      <c r="I11" s="14">
        <f>G11-H11</f>
        <v/>
      </c>
      <c r="J11" s="11">
        <f>G11-F11</f>
        <v/>
      </c>
      <c r="K11" s="13">
        <f>IF(H11&gt;0, G11/H11, 1.0)</f>
        <v/>
      </c>
      <c r="L11" s="13">
        <f>IF(F11&gt;0, G11/F11, 1.0)</f>
        <v/>
      </c>
      <c r="M11" s="14">
        <f>IF(K11&gt;0, E11/K11, E11)</f>
        <v/>
      </c>
      <c r="N11" s="25">
        <f>M11-H11</f>
        <v/>
      </c>
      <c r="O11" s="12">
        <f>E11-M11</f>
        <v/>
      </c>
      <c r="P11" s="26" t="inlineStr">
        <is>
          <t>Middels risiko (Grunnforhold)</t>
        </is>
      </c>
    </row>
    <row r="12">
      <c r="B12" s="16" t="inlineStr">
        <is>
          <t>TOTAL PORTEFØLJE</t>
        </is>
      </c>
      <c r="C12" s="16" t="inlineStr">
        <is>
          <t>6 Investeringsprosjekter</t>
        </is>
      </c>
      <c r="D12" s="16" t="inlineStr">
        <is>
          <t>-</t>
        </is>
      </c>
      <c r="E12" s="17">
        <f>SUM(E6:E11)</f>
        <v/>
      </c>
      <c r="F12" s="17">
        <f>SUM(F6:F11)</f>
        <v/>
      </c>
      <c r="G12" s="17">
        <f>SUM(G6:G11)</f>
        <v/>
      </c>
      <c r="H12" s="17">
        <f>SUM(H6:H11)</f>
        <v/>
      </c>
      <c r="I12" s="17">
        <f>SUM(I6:I11)</f>
        <v/>
      </c>
      <c r="J12" s="17">
        <f>SUM(J6:J11)</f>
        <v/>
      </c>
      <c r="K12" s="18">
        <f>IF(H12&gt;0, G12/H12, 1.0)</f>
        <v/>
      </c>
      <c r="L12" s="18">
        <f>IF(F12&gt;0, G12/F12, 1.0)</f>
        <v/>
      </c>
      <c r="M12" s="17">
        <f>SUM(M6:M11)</f>
        <v/>
      </c>
      <c r="N12" s="17">
        <f>SUM(N6:N11)</f>
        <v/>
      </c>
      <c r="O12" s="17">
        <f>SUM(O6:O11)</f>
        <v/>
      </c>
      <c r="P12" s="16" t="inlineStr">
        <is>
          <t>Middels porteføljerisiko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3" customWidth="1" min="3" max="3"/>
    <col width="16" customWidth="1" min="4" max="4"/>
    <col width="42" customWidth="1" min="5" max="5"/>
    <col width="69" customWidth="1" min="6" max="6"/>
    <col width="31" customWidth="1" min="7" max="7"/>
    <col width="29" customWidth="1" min="8" max="8"/>
    <col width="31" customWidth="1" min="9" max="9"/>
    <col width="20" customWidth="1" min="10" max="10"/>
  </cols>
  <sheetData>
    <row r="1"/>
    <row r="2">
      <c r="B2" s="1" t="inlineStr">
        <is>
          <t>📅 KRISTIANSAND KOMMUNE — STYRINGSKALENDER &amp; ÅRSHJUL 2026/2027</t>
        </is>
      </c>
    </row>
    <row r="3">
      <c r="B3" s="2" t="inlineStr">
        <is>
          <t>Lovpålagte frister, tertialmilepæler, HØP, Statsbudsjett og politisk saksgang</t>
        </is>
      </c>
    </row>
    <row r="4"/>
    <row r="5">
      <c r="B5" s="8" t="inlineStr">
        <is>
          <t>Kvartal</t>
        </is>
      </c>
      <c r="C5" s="8" t="inlineStr">
        <is>
          <t>Måned</t>
        </is>
      </c>
      <c r="D5" s="8" t="inlineStr">
        <is>
          <t>Fristdato</t>
        </is>
      </c>
      <c r="E5" s="8" t="inlineStr">
        <is>
          <t>Styringshendelse &amp; Milepæl</t>
        </is>
      </c>
      <c r="F5" s="8" t="inlineStr">
        <is>
          <t>Operativ Oppgave for Controller</t>
        </is>
      </c>
      <c r="G5" s="8" t="inlineStr">
        <is>
          <t>Ansvarlig Rolle</t>
        </is>
      </c>
      <c r="H5" s="8" t="inlineStr">
        <is>
          <t>System / Verktøy</t>
        </is>
      </c>
      <c r="I5" s="8" t="inlineStr">
        <is>
          <t>Lovhjemmel / Regelverk</t>
        </is>
      </c>
      <c r="J5" s="8" t="inlineStr">
        <is>
          <t>Status</t>
        </is>
      </c>
    </row>
    <row r="6">
      <c r="B6" s="9" t="inlineStr">
        <is>
          <t>Q1</t>
        </is>
      </c>
      <c r="C6" s="10" t="inlineStr">
        <is>
          <t>Januar</t>
        </is>
      </c>
      <c r="D6" s="10" t="inlineStr">
        <is>
          <t>15. jan 2026</t>
        </is>
      </c>
      <c r="E6" s="9" t="inlineStr">
        <is>
          <t>KOSTRA Foreløpig innsending</t>
        </is>
      </c>
      <c r="F6" s="10" t="inlineStr">
        <is>
          <t>Avstemme kontoplan og funksjoner mot SSB spesifikasjon</t>
        </is>
      </c>
      <c r="G6" s="10" t="inlineStr">
        <is>
          <t>Regnskapsleder / Controller</t>
        </is>
      </c>
      <c r="H6" s="24" t="inlineStr">
        <is>
          <t>Visma / SSB Portal</t>
        </is>
      </c>
      <c r="I6" s="24" t="inlineStr">
        <is>
          <t>Kommuneloven § 16-1</t>
        </is>
      </c>
      <c r="J6" s="28" t="inlineStr">
        <is>
          <t>Fullført</t>
        </is>
      </c>
    </row>
    <row r="7">
      <c r="B7" s="9" t="inlineStr">
        <is>
          <t>Q1</t>
        </is>
      </c>
      <c r="C7" s="10" t="inlineStr">
        <is>
          <t>Februar</t>
        </is>
      </c>
      <c r="D7" s="10" t="inlineStr">
        <is>
          <t>23. feb 2026</t>
        </is>
      </c>
      <c r="E7" s="9" t="inlineStr">
        <is>
          <t>KOSTRA Endelig filleveranse</t>
        </is>
      </c>
      <c r="F7" s="10" t="inlineStr">
        <is>
          <t>Kvalitetssikre differanser i artskontiene 010-900</t>
        </is>
      </c>
      <c r="G7" s="10" t="inlineStr">
        <is>
          <t>Controller</t>
        </is>
      </c>
      <c r="H7" s="24" t="inlineStr">
        <is>
          <t>Visma / KOSTRA validering</t>
        </is>
      </c>
      <c r="I7" s="24" t="inlineStr">
        <is>
          <t>Forskrift om økonomiplan</t>
        </is>
      </c>
      <c r="J7" s="28" t="inlineStr">
        <is>
          <t>Fullført</t>
        </is>
      </c>
    </row>
    <row r="8">
      <c r="B8" s="9" t="inlineStr">
        <is>
          <t>Q1</t>
        </is>
      </c>
      <c r="C8" s="10" t="inlineStr">
        <is>
          <t>Mars</t>
        </is>
      </c>
      <c r="D8" s="10" t="inlineStr">
        <is>
          <t>09. mar 2026</t>
        </is>
      </c>
      <c r="E8" s="9" t="inlineStr">
        <is>
          <t>Regnskapsavslutning 2025</t>
        </is>
      </c>
      <c r="F8" s="10" t="inlineStr">
        <is>
          <t>Avstemme balansekontoer, pensjonsforpliktelser og fond</t>
        </is>
      </c>
      <c r="G8" s="10" t="inlineStr">
        <is>
          <t>Regnskapssjef</t>
        </is>
      </c>
      <c r="H8" s="24" t="inlineStr">
        <is>
          <t>Visma ERP</t>
        </is>
      </c>
      <c r="I8" s="24" t="inlineStr">
        <is>
          <t>God kommunal regnskapsskikk</t>
        </is>
      </c>
      <c r="J8" s="28" t="inlineStr">
        <is>
          <t>Fullført</t>
        </is>
      </c>
    </row>
    <row r="9">
      <c r="B9" s="9" t="inlineStr">
        <is>
          <t>Q1</t>
        </is>
      </c>
      <c r="C9" s="10" t="inlineStr">
        <is>
          <t>Mars</t>
        </is>
      </c>
      <c r="D9" s="10" t="inlineStr">
        <is>
          <t>31. mar 2026</t>
        </is>
      </c>
      <c r="E9" s="9" t="inlineStr">
        <is>
          <t>Årsrapport &amp; Årsregnskap</t>
        </is>
      </c>
      <c r="F9" s="10" t="inlineStr">
        <is>
          <t>Fremlegge foreløpig årsregnskap for Kommunedirektøren</t>
        </is>
      </c>
      <c r="G9" s="10" t="inlineStr">
        <is>
          <t>Økonomidirektør</t>
        </is>
      </c>
      <c r="H9" s="24" t="inlineStr">
        <is>
          <t>Framsikt / Public360</t>
        </is>
      </c>
      <c r="I9" s="24" t="inlineStr">
        <is>
          <t>Kommuneloven § 14-6</t>
        </is>
      </c>
      <c r="J9" s="28" t="inlineStr">
        <is>
          <t>Fullført</t>
        </is>
      </c>
    </row>
    <row r="10">
      <c r="B10" s="9" t="inlineStr">
        <is>
          <t>Q2</t>
        </is>
      </c>
      <c r="C10" s="10" t="inlineStr">
        <is>
          <t>April</t>
        </is>
      </c>
      <c r="D10" s="10" t="inlineStr">
        <is>
          <t>15. apr 2026</t>
        </is>
      </c>
      <c r="E10" s="9" t="inlineStr">
        <is>
          <t>Revisjonsberetning 2025</t>
        </is>
      </c>
      <c r="F10" s="10" t="inlineStr">
        <is>
          <t>Gjennomgang av Kommunerevisjonens merknader og SHA-256 logg</t>
        </is>
      </c>
      <c r="G10" s="10" t="inlineStr">
        <is>
          <t>Senior Controller</t>
        </is>
      </c>
      <c r="H10" s="24" t="inlineStr">
        <is>
          <t>Agder Kommunerevisjon</t>
        </is>
      </c>
      <c r="I10" s="24" t="inlineStr">
        <is>
          <t>Kommuneloven kap. 24</t>
        </is>
      </c>
      <c r="J10" s="28" t="inlineStr">
        <is>
          <t>Fullført</t>
        </is>
      </c>
    </row>
    <row r="11">
      <c r="B11" s="9" t="inlineStr">
        <is>
          <t>Q2</t>
        </is>
      </c>
      <c r="C11" s="10" t="inlineStr">
        <is>
          <t>Mai</t>
        </is>
      </c>
      <c r="D11" s="10" t="inlineStr">
        <is>
          <t>15. mai 2026</t>
        </is>
      </c>
      <c r="E11" s="9" t="inlineStr">
        <is>
          <t>Revidert Nasjonalbudsjett (RNB)</t>
        </is>
      </c>
      <c r="F11" s="10" t="inlineStr">
        <is>
          <t>Analysere virkning på kommunens skatteinngang og rammetilskudd</t>
        </is>
      </c>
      <c r="G11" s="10" t="inlineStr">
        <is>
          <t>Spesialrådgiver Strategi</t>
        </is>
      </c>
      <c r="H11" s="24" t="inlineStr">
        <is>
          <t>Regjeringen.no / Excel</t>
        </is>
      </c>
      <c r="I11" s="24" t="inlineStr">
        <is>
          <t>Styringsdokument</t>
        </is>
      </c>
      <c r="J11" s="28" t="inlineStr">
        <is>
          <t>Fullført</t>
        </is>
      </c>
    </row>
    <row r="12">
      <c r="B12" s="9" t="inlineStr">
        <is>
          <t>Q2</t>
        </is>
      </c>
      <c r="C12" s="10" t="inlineStr">
        <is>
          <t>Mai</t>
        </is>
      </c>
      <c r="D12" s="10" t="inlineStr">
        <is>
          <t>25. mai 2026</t>
        </is>
      </c>
      <c r="E12" s="9" t="inlineStr">
        <is>
          <t>1. Tertialrapport (T1) i Bystyret</t>
        </is>
      </c>
      <c r="F12" s="10" t="inlineStr">
        <is>
          <t>Avviksanalyse T1, sykepengeetterslep, første EOY-prognose</t>
        </is>
      </c>
      <c r="G12" s="10" t="inlineStr">
        <is>
          <t>Senior Controller</t>
        </is>
      </c>
      <c r="H12" s="24" t="inlineStr">
        <is>
          <t>Framsikt / Power BI</t>
        </is>
      </c>
      <c r="I12" s="24" t="inlineStr">
        <is>
          <t>Kommuneloven § 14-5</t>
        </is>
      </c>
      <c r="J12" s="28" t="inlineStr">
        <is>
          <t>Fullført</t>
        </is>
      </c>
    </row>
    <row r="13">
      <c r="B13" s="9" t="inlineStr">
        <is>
          <t>Q2</t>
        </is>
      </c>
      <c r="C13" s="10" t="inlineStr">
        <is>
          <t>Juni</t>
        </is>
      </c>
      <c r="D13" s="10" t="inlineStr">
        <is>
          <t>15. jun 2026</t>
        </is>
      </c>
      <c r="E13" s="9" t="inlineStr">
        <is>
          <t>Endelige KOSTRA-tall publiseres</t>
        </is>
      </c>
      <c r="F13" s="10" t="inlineStr">
        <is>
          <t>Benchmarking mot ASSS-kommunene (Stavanger, Bergen, m.fl.)</t>
        </is>
      </c>
      <c r="G13" s="10" t="inlineStr">
        <is>
          <t>Rådgiver Virksomhetsstyring</t>
        </is>
      </c>
      <c r="H13" s="24" t="inlineStr">
        <is>
          <t>SSB KOSTRA / Power BI</t>
        </is>
      </c>
      <c r="I13" s="24" t="inlineStr">
        <is>
          <t>SSB Statistikk</t>
        </is>
      </c>
      <c r="J13" s="28" t="inlineStr">
        <is>
          <t>Fullført</t>
        </is>
      </c>
    </row>
    <row r="14">
      <c r="B14" s="9" t="inlineStr">
        <is>
          <t>Q3</t>
        </is>
      </c>
      <c r="C14" s="10" t="inlineStr">
        <is>
          <t>August</t>
        </is>
      </c>
      <c r="D14" s="10" t="inlineStr">
        <is>
          <t>15. aug 2026</t>
        </is>
      </c>
      <c r="E14" s="9" t="inlineStr">
        <is>
          <t>Innspill til HØP 2027–2030</t>
        </is>
      </c>
      <c r="F14" s="10" t="inlineStr">
        <is>
          <t>Innhente investerings- og driftsbehov fra kommunalsjefene</t>
        </is>
      </c>
      <c r="G14" s="10" t="inlineStr">
        <is>
          <t>Controller Oppvekst / Helse</t>
        </is>
      </c>
      <c r="H14" s="24" t="inlineStr">
        <is>
          <t>Framsikt Budsjettmodul</t>
        </is>
      </c>
      <c r="I14" s="24" t="inlineStr">
        <is>
          <t>Kommuneloven § 14-2</t>
        </is>
      </c>
      <c r="J14" s="28" t="inlineStr">
        <is>
          <t>Fullført</t>
        </is>
      </c>
    </row>
    <row r="15">
      <c r="B15" s="9" t="inlineStr">
        <is>
          <t>Q3</t>
        </is>
      </c>
      <c r="C15" s="10" t="inlineStr">
        <is>
          <t>September</t>
        </is>
      </c>
      <c r="D15" s="10" t="inlineStr">
        <is>
          <t>15. sep 2026</t>
        </is>
      </c>
      <c r="E15" s="9" t="inlineStr">
        <is>
          <t>Lukking av 2. Tertialregnskap</t>
        </is>
      </c>
      <c r="F15" s="10" t="inlineStr">
        <is>
          <t>Månedsslutt august/september, periodiseringer og prosjektestimat</t>
        </is>
      </c>
      <c r="G15" s="10" t="inlineStr">
        <is>
          <t>Prosjektcontroller</t>
        </is>
      </c>
      <c r="H15" s="24" t="inlineStr">
        <is>
          <t>Visma ERP</t>
        </is>
      </c>
      <c r="I15" s="24" t="inlineStr">
        <is>
          <t>Periodelukkingsprosedyre</t>
        </is>
      </c>
      <c r="J15" s="28" t="inlineStr">
        <is>
          <t>Fullført</t>
        </is>
      </c>
    </row>
    <row r="16">
      <c r="B16" s="9" t="inlineStr">
        <is>
          <t>Q3</t>
        </is>
      </c>
      <c r="C16" s="10" t="inlineStr">
        <is>
          <t>September</t>
        </is>
      </c>
      <c r="D16" s="10" t="inlineStr">
        <is>
          <t>23. sep 2026</t>
        </is>
      </c>
      <c r="E16" s="9" t="inlineStr">
        <is>
          <t>Kommunedirektørens forslag til HØP</t>
        </is>
      </c>
      <c r="F16" s="10" t="inlineStr">
        <is>
          <t>Ferdigstille 4-årig økonomiplan og investeringsprogram</t>
        </is>
      </c>
      <c r="G16" s="10" t="inlineStr">
        <is>
          <t>Økonomidirektør</t>
        </is>
      </c>
      <c r="H16" s="24" t="inlineStr">
        <is>
          <t>Framsikt / Sakspapir</t>
        </is>
      </c>
      <c r="I16" s="24" t="inlineStr">
        <is>
          <t>Kommuneloven § 14-2</t>
        </is>
      </c>
      <c r="J16" s="28" t="inlineStr">
        <is>
          <t>Fullført</t>
        </is>
      </c>
    </row>
    <row r="17">
      <c r="B17" s="9" t="inlineStr">
        <is>
          <t>Q3</t>
        </is>
      </c>
      <c r="C17" s="10" t="inlineStr">
        <is>
          <t>September</t>
        </is>
      </c>
      <c r="D17" s="10" t="inlineStr">
        <is>
          <t>28. sep 2026</t>
        </is>
      </c>
      <c r="E17" s="9" t="inlineStr">
        <is>
          <t>2. Tertialrapport (T2) i Formannskapet</t>
        </is>
      </c>
      <c r="F17" s="10" t="inlineStr">
        <is>
          <t>Fremme avvikssak: Oppvekst +4,1M, BoMiljø +7,8M, fondsbruk</t>
        </is>
      </c>
      <c r="G17" s="10" t="inlineStr">
        <is>
          <t>Senior Controller</t>
        </is>
      </c>
      <c r="H17" s="24" t="inlineStr">
        <is>
          <t>Control Office Hub</t>
        </is>
      </c>
      <c r="I17" s="24" t="inlineStr">
        <is>
          <t>Kommuneloven § 14-5</t>
        </is>
      </c>
      <c r="J17" s="29" t="inlineStr">
        <is>
          <t>PÅGÅR NÅ (Aktiv)</t>
        </is>
      </c>
    </row>
    <row r="18">
      <c r="B18" s="9" t="inlineStr">
        <is>
          <t>Q4</t>
        </is>
      </c>
      <c r="C18" s="10" t="inlineStr">
        <is>
          <t>Oktober</t>
        </is>
      </c>
      <c r="D18" s="10" t="inlineStr">
        <is>
          <t>07. okt 2026</t>
        </is>
      </c>
      <c r="E18" s="9" t="inlineStr">
        <is>
          <t>Statsbudsjettet 2027 fremlegges</t>
        </is>
      </c>
      <c r="F18" s="10" t="inlineStr">
        <is>
          <t>Beregne lokale konsekvenser av deflator og vekst i frie inntekter</t>
        </is>
      </c>
      <c r="G18" s="10" t="inlineStr">
        <is>
          <t>Sjeføkonom / Controller</t>
        </is>
      </c>
      <c r="H18" s="24" t="inlineStr">
        <is>
          <t>Statsbudsjett.no / Excel</t>
        </is>
      </c>
      <c r="I18" s="24" t="inlineStr">
        <is>
          <t>Styringssignal</t>
        </is>
      </c>
      <c r="J18" s="24" t="inlineStr">
        <is>
          <t>Planlagt</t>
        </is>
      </c>
    </row>
    <row r="19">
      <c r="B19" s="9" t="inlineStr">
        <is>
          <t>Q4</t>
        </is>
      </c>
      <c r="C19" s="10" t="inlineStr">
        <is>
          <t>November</t>
        </is>
      </c>
      <c r="D19" s="10" t="inlineStr">
        <is>
          <t>10. nov 2026</t>
        </is>
      </c>
      <c r="E19" s="9" t="inlineStr">
        <is>
          <t>Månedsoppfølging per oktober</t>
        </is>
      </c>
      <c r="F19" s="10" t="inlineStr">
        <is>
          <t>Kontrollere at tiltak iverksatt i T2 har bremset vikarforbruket</t>
        </is>
      </c>
      <c r="G19" s="10" t="inlineStr">
        <is>
          <t>Controller</t>
        </is>
      </c>
      <c r="H19" s="24" t="inlineStr">
        <is>
          <t>Visma / Power BI</t>
        </is>
      </c>
      <c r="I19" s="24" t="inlineStr">
        <is>
          <t>Internkontroll</t>
        </is>
      </c>
      <c r="J19" s="24" t="inlineStr">
        <is>
          <t>Planlagt</t>
        </is>
      </c>
    </row>
    <row r="20">
      <c r="B20" s="9" t="inlineStr">
        <is>
          <t>Q4</t>
        </is>
      </c>
      <c r="C20" s="10" t="inlineStr">
        <is>
          <t>November</t>
        </is>
      </c>
      <c r="D20" s="10" t="inlineStr">
        <is>
          <t>25. nov 2026</t>
        </is>
      </c>
      <c r="E20" s="9" t="inlineStr">
        <is>
          <t>Formannskapets budsjettinnstilling</t>
        </is>
      </c>
      <c r="F20" s="10" t="inlineStr">
        <is>
          <t>Politisk behandling av HØP 2027-2030 og Årsbudsjett 2027</t>
        </is>
      </c>
      <c r="G20" s="10" t="inlineStr">
        <is>
          <t>Formannskapet / Rådmann</t>
        </is>
      </c>
      <c r="H20" s="24" t="inlineStr">
        <is>
          <t>Politiske sakspapirer</t>
        </is>
      </c>
      <c r="I20" s="24" t="inlineStr">
        <is>
          <t>Kommuneloven § 14-3</t>
        </is>
      </c>
      <c r="J20" s="24" t="inlineStr">
        <is>
          <t>Planlagt</t>
        </is>
      </c>
    </row>
    <row r="21">
      <c r="B21" s="9" t="inlineStr">
        <is>
          <t>Q4</t>
        </is>
      </c>
      <c r="C21" s="10" t="inlineStr">
        <is>
          <t>Desember</t>
        </is>
      </c>
      <c r="D21" s="10" t="inlineStr">
        <is>
          <t>18. des 2026</t>
        </is>
      </c>
      <c r="E21" s="9" t="inlineStr">
        <is>
          <t>Bystyrets endelige Budsjettsanktion</t>
        </is>
      </c>
      <c r="F21" s="10" t="inlineStr">
        <is>
          <t>Sluttvedtak av Handlings- og økonomiplan og skatteøre</t>
        </is>
      </c>
      <c r="G21" s="10" t="inlineStr">
        <is>
          <t>Bystyret</t>
        </is>
      </c>
      <c r="H21" s="24" t="inlineStr">
        <is>
          <t>Bystyrevedtak</t>
        </is>
      </c>
      <c r="I21" s="24" t="inlineStr">
        <is>
          <t>Kommuneloven § 14-3</t>
        </is>
      </c>
      <c r="J21" s="24" t="inlineStr">
        <is>
          <t>Planlagt</t>
        </is>
      </c>
    </row>
    <row r="22">
      <c r="B22" s="9" t="inlineStr">
        <is>
          <t>Q4</t>
        </is>
      </c>
      <c r="C22" s="10" t="inlineStr">
        <is>
          <t>Desember</t>
        </is>
      </c>
      <c r="D22" s="10" t="inlineStr">
        <is>
          <t>31. des 2026</t>
        </is>
      </c>
      <c r="E22" s="9" t="inlineStr">
        <is>
          <t>Årsoppgjørsstenging 2026</t>
        </is>
      </c>
      <c r="F22" s="10" t="inlineStr">
        <is>
          <t>Årsoppgjørsdisponeringer, overføringer og fondsavsetninger</t>
        </is>
      </c>
      <c r="G22" s="10" t="inlineStr">
        <is>
          <t>Regnskap / Controller</t>
        </is>
      </c>
      <c r="H22" s="24" t="inlineStr">
        <is>
          <t>Visma ERP / Framsikt</t>
        </is>
      </c>
      <c r="I22" s="24" t="inlineStr">
        <is>
          <t>Kommuneloven § 14-6</t>
        </is>
      </c>
      <c r="J22" s="24" t="inlineStr">
        <is>
          <t>Planlagt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21" customWidth="1" min="2" max="2"/>
    <col width="12" customWidth="1" min="3" max="3"/>
    <col width="75" customWidth="1" min="4" max="4"/>
    <col width="14" customWidth="1" min="5" max="5"/>
    <col width="31" customWidth="1" min="6" max="6"/>
    <col width="26" customWidth="1" min="7" max="7"/>
    <col width="31" customWidth="1" min="8" max="8"/>
    <col width="16" customWidth="1" min="9" max="9"/>
    <col width="27" customWidth="1" min="10" max="10"/>
  </cols>
  <sheetData>
    <row r="1"/>
    <row r="2">
      <c r="B2" s="1" t="inlineStr">
        <is>
          <t>🛡️ KRISTIANSAND KOMMUNE — CONTROLLER &amp; REVISJON SJEKKLISTE</t>
        </is>
      </c>
    </row>
    <row r="3">
      <c r="B3" s="2" t="inlineStr">
        <is>
          <t>Internkontroll, Månedslukking, Stage-Gate Portmodell (1-10) og Kommuneloven kap. 24</t>
        </is>
      </c>
    </row>
    <row r="4"/>
    <row r="5">
      <c r="B5" s="8" t="inlineStr">
        <is>
          <t>Område</t>
        </is>
      </c>
      <c r="C5" s="8" t="inlineStr">
        <is>
          <t>Sjekk-ID</t>
        </is>
      </c>
      <c r="D5" s="8" t="inlineStr">
        <is>
          <t>Kontrollpunkt &amp; Beskrivelse</t>
        </is>
      </c>
      <c r="E5" s="8" t="inlineStr">
        <is>
          <t>Frekvens</t>
        </is>
      </c>
      <c r="F5" s="8" t="inlineStr">
        <is>
          <t>Hjemmel / Standard</t>
        </is>
      </c>
      <c r="G5" s="8" t="inlineStr">
        <is>
          <t>Ansvarlig</t>
        </is>
      </c>
      <c r="H5" s="8" t="inlineStr">
        <is>
          <t>Kontrollmetodikk</t>
        </is>
      </c>
      <c r="I5" s="8" t="inlineStr">
        <is>
          <t>Status</t>
        </is>
      </c>
      <c r="J5" s="8" t="inlineStr">
        <is>
          <t>Signatur / SHA-256 Hash</t>
        </is>
      </c>
    </row>
    <row r="6">
      <c r="B6" s="9" t="inlineStr">
        <is>
          <t>Månedsavslutning</t>
        </is>
      </c>
      <c r="C6" s="10" t="inlineStr">
        <is>
          <t>CHK-01</t>
        </is>
      </c>
      <c r="D6" s="10" t="inlineStr">
        <is>
          <t>Bankavstemminger fullført for samtlige kommunale driftskontoer</t>
        </is>
      </c>
      <c r="E6" s="24" t="inlineStr">
        <is>
          <t>Månedlig</t>
        </is>
      </c>
      <c r="F6" s="24" t="inlineStr">
        <is>
          <t>Regnskapsforskrift § 2-1</t>
        </is>
      </c>
      <c r="G6" s="10" t="inlineStr">
        <is>
          <t>Regnskapsavdelingen</t>
        </is>
      </c>
      <c r="H6" s="24" t="inlineStr">
        <is>
          <t>Fullstendig saldoavstemming</t>
        </is>
      </c>
      <c r="I6" s="30" t="inlineStr">
        <is>
          <t>Godkjent</t>
        </is>
      </c>
      <c r="J6" s="24" t="inlineStr">
        <is>
          <t>SHA256: 7f83b1657ff1...</t>
        </is>
      </c>
    </row>
    <row r="7">
      <c r="B7" s="9" t="inlineStr">
        <is>
          <t>Månedsavslutning</t>
        </is>
      </c>
      <c r="C7" s="10" t="inlineStr">
        <is>
          <t>CHK-02</t>
        </is>
      </c>
      <c r="D7" s="10" t="inlineStr">
        <is>
          <t>Gjennomgang av uoppgjorte poster på mellomregningskontoer</t>
        </is>
      </c>
      <c r="E7" s="24" t="inlineStr">
        <is>
          <t>Månedlig</t>
        </is>
      </c>
      <c r="F7" s="24" t="inlineStr">
        <is>
          <t>Internkontrollforskriften</t>
        </is>
      </c>
      <c r="G7" s="10" t="inlineStr">
        <is>
          <t>Regnskapsfører</t>
        </is>
      </c>
      <c r="H7" s="24" t="inlineStr">
        <is>
          <t>Maks 30 dagers restanser</t>
        </is>
      </c>
      <c r="I7" s="30" t="inlineStr">
        <is>
          <t>Godkjent</t>
        </is>
      </c>
      <c r="J7" s="24" t="inlineStr">
        <is>
          <t>SHA256: 9b2d8c341aa0...</t>
        </is>
      </c>
    </row>
    <row r="8">
      <c r="B8" s="9" t="inlineStr">
        <is>
          <t>Månedsavslutning</t>
        </is>
      </c>
      <c r="C8" s="10" t="inlineStr">
        <is>
          <t>CHK-03</t>
        </is>
      </c>
      <c r="D8" s="10" t="inlineStr">
        <is>
          <t>Periodisering av kjente vesentlige inntekter og kostnader</t>
        </is>
      </c>
      <c r="E8" s="24" t="inlineStr">
        <is>
          <t>Månedlig</t>
        </is>
      </c>
      <c r="F8" s="24" t="inlineStr">
        <is>
          <t>God kommunal regnskapsskikk</t>
        </is>
      </c>
      <c r="G8" s="10" t="inlineStr">
        <is>
          <t>Controller</t>
        </is>
      </c>
      <c r="H8" s="24" t="inlineStr">
        <is>
          <t>Balansejusteringer</t>
        </is>
      </c>
      <c r="I8" s="30" t="inlineStr">
        <is>
          <t>Godkjent</t>
        </is>
      </c>
      <c r="J8" s="24" t="inlineStr">
        <is>
          <t>SHA256: 12ab44ef8912...</t>
        </is>
      </c>
    </row>
    <row r="9">
      <c r="B9" s="9" t="inlineStr">
        <is>
          <t>Månedsavslutning</t>
        </is>
      </c>
      <c r="C9" s="10" t="inlineStr">
        <is>
          <t>CHK-04</t>
        </is>
      </c>
      <c r="D9" s="10" t="inlineStr">
        <is>
          <t>Avstemming av lønns- og trekkontoer mot A-melding til Skatteetaten</t>
        </is>
      </c>
      <c r="E9" s="24" t="inlineStr">
        <is>
          <t>Månedlig</t>
        </is>
      </c>
      <c r="F9" s="24" t="inlineStr">
        <is>
          <t>A-opplysningsloven</t>
        </is>
      </c>
      <c r="G9" s="10" t="inlineStr">
        <is>
          <t>Lønnsansvarlig</t>
        </is>
      </c>
      <c r="H9" s="24" t="inlineStr">
        <is>
          <t>Månedlig kvittering</t>
        </is>
      </c>
      <c r="I9" s="30" t="inlineStr">
        <is>
          <t>Godkjent</t>
        </is>
      </c>
      <c r="J9" s="24" t="inlineStr">
        <is>
          <t>SHA256: c398ef2011da...</t>
        </is>
      </c>
    </row>
    <row r="10">
      <c r="B10" s="9" t="inlineStr">
        <is>
          <t>Tertialavslutning</t>
        </is>
      </c>
      <c r="C10" s="10" t="inlineStr">
        <is>
          <t>CHK-05</t>
        </is>
      </c>
      <c r="D10" s="10" t="inlineStr">
        <is>
          <t>Avstemming mellom Visma ERP faktisk forbruk og Framsikt rammer</t>
        </is>
      </c>
      <c r="E10" s="24" t="inlineStr">
        <is>
          <t>Tertialvis</t>
        </is>
      </c>
      <c r="F10" s="24" t="inlineStr">
        <is>
          <t>Kommuneloven § 14-5</t>
        </is>
      </c>
      <c r="G10" s="10" t="inlineStr">
        <is>
          <t>Senior Controller</t>
        </is>
      </c>
      <c r="H10" s="24" t="inlineStr">
        <is>
          <t>Automatisk diff-sjekk</t>
        </is>
      </c>
      <c r="I10" s="30" t="inlineStr">
        <is>
          <t>Godkjent</t>
        </is>
      </c>
      <c r="J10" s="24" t="inlineStr">
        <is>
          <t>SHA256: e3b0c44298fc...</t>
        </is>
      </c>
    </row>
    <row r="11">
      <c r="B11" s="9" t="inlineStr">
        <is>
          <t>Tertialavslutning</t>
        </is>
      </c>
      <c r="C11" s="10" t="inlineStr">
        <is>
          <t>CHK-06</t>
        </is>
      </c>
      <c r="D11" s="10" t="inlineStr">
        <is>
          <t>Validering av sykepengerefusjoner fra NAV (etterslep)</t>
        </is>
      </c>
      <c r="E11" s="24" t="inlineStr">
        <is>
          <t>Tertialvis</t>
        </is>
      </c>
      <c r="F11" s="24" t="inlineStr">
        <is>
          <t>Folketrygdloven kap. 8</t>
        </is>
      </c>
      <c r="G11" s="10" t="inlineStr">
        <is>
          <t>Rådgiver Helse / Skole</t>
        </is>
      </c>
      <c r="H11" s="24" t="inlineStr">
        <is>
          <t>Refusjonssaldo vs. krav</t>
        </is>
      </c>
      <c r="I11" s="29" t="inlineStr">
        <is>
          <t>Avvik funnet</t>
        </is>
      </c>
      <c r="J11" s="24" t="inlineStr">
        <is>
          <t>Fulgtes opp i T2</t>
        </is>
      </c>
    </row>
    <row r="12">
      <c r="B12" s="9" t="inlineStr">
        <is>
          <t>Tertialavslutning</t>
        </is>
      </c>
      <c r="C12" s="10" t="inlineStr">
        <is>
          <t>CHK-07</t>
        </is>
      </c>
      <c r="D12" s="10" t="inlineStr">
        <is>
          <t>Oppdatering av Earned Value (EVM) for investeringsprosjekter &gt;10M</t>
        </is>
      </c>
      <c r="E12" s="24" t="inlineStr">
        <is>
          <t>Tertialvis</t>
        </is>
      </c>
      <c r="F12" s="24" t="inlineStr">
        <is>
          <t>Prosjektstyringsmodell</t>
        </is>
      </c>
      <c r="G12" s="10" t="inlineStr">
        <is>
          <t>Prosjektcontroller</t>
        </is>
      </c>
      <c r="H12" s="24" t="inlineStr">
        <is>
          <t>BAC/EAC/CPI beregning</t>
        </is>
      </c>
      <c r="I12" s="30" t="inlineStr">
        <is>
          <t>Godkjent</t>
        </is>
      </c>
      <c r="J12" s="24" t="inlineStr">
        <is>
          <t>EVM Ark fane 3</t>
        </is>
      </c>
    </row>
    <row r="13">
      <c r="B13" s="9" t="inlineStr">
        <is>
          <t>Tertialavslutning</t>
        </is>
      </c>
      <c r="C13" s="10" t="inlineStr">
        <is>
          <t>CHK-08</t>
        </is>
      </c>
      <c r="D13" s="10" t="inlineStr">
        <is>
          <t>Klargjøring av politisk saksfremlegg med obligatorisk tiltaksplan</t>
        </is>
      </c>
      <c r="E13" s="24" t="inlineStr">
        <is>
          <t>Tertialvis</t>
        </is>
      </c>
      <c r="F13" s="24" t="inlineStr">
        <is>
          <t>Kommuneloven § 14-5</t>
        </is>
      </c>
      <c r="G13" s="10" t="inlineStr">
        <is>
          <t>Økonomidirektør</t>
        </is>
      </c>
      <c r="H13" s="24" t="inlineStr">
        <is>
          <t>Skriftlig saksnotat</t>
        </is>
      </c>
      <c r="I13" s="30" t="inlineStr">
        <is>
          <t>Godkjent</t>
        </is>
      </c>
      <c r="J13" s="24" t="inlineStr">
        <is>
          <t>Formannskapssak</t>
        </is>
      </c>
    </row>
    <row r="14">
      <c r="B14" s="9" t="inlineStr">
        <is>
          <t>AI &amp; RAG Audit</t>
        </is>
      </c>
      <c r="C14" s="10" t="inlineStr">
        <is>
          <t>CHK-09</t>
        </is>
      </c>
      <c r="D14" s="10" t="inlineStr">
        <is>
          <t>Verifisering av uforanderlig SHA-256 logg i Audit_AI_Actions</t>
        </is>
      </c>
      <c r="E14" s="24" t="inlineStr">
        <is>
          <t>Løpende</t>
        </is>
      </c>
      <c r="F14" s="24" t="inlineStr">
        <is>
          <t>EU AI Act Art. 26(6)</t>
        </is>
      </c>
      <c r="G14" s="10" t="inlineStr">
        <is>
          <t>Internrevisjonen</t>
        </is>
      </c>
      <c r="H14" s="24" t="inlineStr">
        <is>
          <t>Kryptografisk hash-kontroll</t>
        </is>
      </c>
      <c r="I14" s="30" t="inlineStr">
        <is>
          <t>Godkjent</t>
        </is>
      </c>
      <c r="J14" s="24" t="inlineStr">
        <is>
          <t>100% hash-samsvar</t>
        </is>
      </c>
    </row>
    <row r="15">
      <c r="B15" s="9" t="inlineStr">
        <is>
          <t>AI &amp; RAG Audit</t>
        </is>
      </c>
      <c r="C15" s="10" t="inlineStr">
        <is>
          <t>CHK-10</t>
        </is>
      </c>
      <c r="D15" s="10" t="inlineStr">
        <is>
          <t>Human-in-the-Loop (HITL) validering — 0 autonome vedtak</t>
        </is>
      </c>
      <c r="E15" s="24" t="inlineStr">
        <is>
          <t>Løpende</t>
        </is>
      </c>
      <c r="F15" s="24" t="inlineStr">
        <is>
          <t>GDPR Art. 22 / Kommuneloven</t>
        </is>
      </c>
      <c r="G15" s="10" t="inlineStr">
        <is>
          <t>Controller / Rådgiver</t>
        </is>
      </c>
      <c r="H15" s="24" t="inlineStr">
        <is>
          <t>Aktiv godkjenning påkrevd</t>
        </is>
      </c>
      <c r="I15" s="30" t="inlineStr">
        <is>
          <t>Godkjent</t>
        </is>
      </c>
      <c r="J15" s="24" t="inlineStr">
        <is>
          <t>100% HITL dekning</t>
        </is>
      </c>
    </row>
    <row r="16">
      <c r="B16" s="9" t="inlineStr">
        <is>
          <t>AI &amp; RAG Audit</t>
        </is>
      </c>
      <c r="C16" s="10" t="inlineStr">
        <is>
          <t>CHK-11</t>
        </is>
      </c>
      <c r="D16" s="10" t="inlineStr">
        <is>
          <t>PII-vasking og personvernskjerming før LLM-prosessering</t>
        </is>
      </c>
      <c r="E16" s="24" t="inlineStr">
        <is>
          <t>Løpende</t>
        </is>
      </c>
      <c r="F16" s="24" t="inlineStr">
        <is>
          <t>GDPR Art. 5 / Port 4</t>
        </is>
      </c>
      <c r="G16" s="10" t="inlineStr">
        <is>
          <t>Systemansvarlig</t>
        </is>
      </c>
      <c r="H16" s="24" t="inlineStr">
        <is>
          <t>RegEx + NER anonymisering</t>
        </is>
      </c>
      <c r="I16" s="30" t="inlineStr">
        <is>
          <t>Godkjent</t>
        </is>
      </c>
      <c r="J16" s="24" t="inlineStr">
        <is>
          <t>0 PII lekket</t>
        </is>
      </c>
    </row>
    <row r="17">
      <c r="B17" s="9" t="inlineStr">
        <is>
          <t>AI &amp; RAG Audit</t>
        </is>
      </c>
      <c r="C17" s="10" t="inlineStr">
        <is>
          <t>CHK-12</t>
        </is>
      </c>
      <c r="D17" s="10" t="inlineStr">
        <is>
          <t>Glass-Box kildeverifisering (100% sitater mot lov og reglement)</t>
        </is>
      </c>
      <c r="E17" s="24" t="inlineStr">
        <is>
          <t>Løpende</t>
        </is>
      </c>
      <c r="F17" s="24" t="inlineStr">
        <is>
          <t>Stage-Gate Port 8</t>
        </is>
      </c>
      <c r="G17" s="10" t="inlineStr">
        <is>
          <t>AI Guardrails</t>
        </is>
      </c>
      <c r="H17" s="24" t="inlineStr">
        <is>
          <t>Paragrafsjekk (§)</t>
        </is>
      </c>
      <c r="I17" s="30" t="inlineStr">
        <is>
          <t>Godkjent</t>
        </is>
      </c>
      <c r="J17" s="24" t="inlineStr">
        <is>
          <t>100% kildeforankret</t>
        </is>
      </c>
    </row>
    <row r="18">
      <c r="B18" s="9" t="inlineStr">
        <is>
          <t>Kommunerevisjon</t>
        </is>
      </c>
      <c r="C18" s="10" t="inlineStr">
        <is>
          <t>CHK-13</t>
        </is>
      </c>
      <c r="D18" s="10" t="inlineStr">
        <is>
          <t>Stikkprøvekontroll av innkjøpsavtaler mot terskelverdier (Anskaffelser)</t>
        </is>
      </c>
      <c r="E18" s="24" t="inlineStr">
        <is>
          <t>Årlig</t>
        </is>
      </c>
      <c r="F18" s="24" t="inlineStr">
        <is>
          <t>Anskaffelsesloven</t>
        </is>
      </c>
      <c r="G18" s="10" t="inlineStr">
        <is>
          <t>Agder Kommunerevisjon</t>
        </is>
      </c>
      <c r="H18" s="24" t="inlineStr">
        <is>
          <t>Stikkprøve 50 fakturaer</t>
        </is>
      </c>
      <c r="I18" s="24" t="inlineStr">
        <is>
          <t>Planlagt</t>
        </is>
      </c>
      <c r="J18" s="24" t="inlineStr">
        <is>
          <t>Revisjonsplan</t>
        </is>
      </c>
    </row>
    <row r="19">
      <c r="B19" s="9" t="inlineStr">
        <is>
          <t>Kommunerevisjon</t>
        </is>
      </c>
      <c r="C19" s="10" t="inlineStr">
        <is>
          <t>CHK-14</t>
        </is>
      </c>
      <c r="D19" s="10" t="inlineStr">
        <is>
          <t>Kontroll av disposisjonsfond og lovpålagte bundne fondsavsetninger</t>
        </is>
      </c>
      <c r="E19" s="24" t="inlineStr">
        <is>
          <t>Årlig</t>
        </is>
      </c>
      <c r="F19" s="24" t="inlineStr">
        <is>
          <t>Kommuneloven § 14-18</t>
        </is>
      </c>
      <c r="G19" s="10" t="inlineStr">
        <is>
          <t>Kommunerevisjonen</t>
        </is>
      </c>
      <c r="H19" s="24" t="inlineStr">
        <is>
          <t>Balanse- og formueskontroll</t>
        </is>
      </c>
      <c r="I19" s="24" t="inlineStr">
        <is>
          <t>Planlagt</t>
        </is>
      </c>
      <c r="J19" s="24" t="inlineStr">
        <is>
          <t>Årsrevisjon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42" customWidth="1" min="4" max="4"/>
    <col width="15" customWidth="1" min="5" max="5"/>
    <col width="26" customWidth="1" min="6" max="6"/>
    <col width="45" customWidth="1" min="7" max="7"/>
  </cols>
  <sheetData>
    <row r="1"/>
    <row r="2">
      <c r="B2" s="1" t="inlineStr">
        <is>
          <t>📚 KRISTIANSAND KOMMUNE — KOSTRA KONTOPLAN &amp; MASTERDATA</t>
        </is>
      </c>
    </row>
    <row r="3">
      <c r="B3" s="2" t="inlineStr">
        <is>
          <t>SSB KOSTRA Funksjoner, Kostnadsarter og Kontoklasser (Kilde: kostra_kontoplan.csv)</t>
        </is>
      </c>
    </row>
    <row r="4"/>
    <row r="5">
      <c r="B5" s="8" t="inlineStr">
        <is>
          <t>Kategori</t>
        </is>
      </c>
      <c r="C5" s="8" t="inlineStr">
        <is>
          <t>Kode</t>
        </is>
      </c>
      <c r="D5" s="8" t="inlineStr">
        <is>
          <t>Betegnelse / Tekst</t>
        </is>
      </c>
      <c r="E5" s="8" t="inlineStr">
        <is>
          <t>Kontoklasse</t>
        </is>
      </c>
      <c r="F5" s="8" t="inlineStr">
        <is>
          <t>SSB Rapporteringsplikt</t>
        </is>
      </c>
      <c r="G5" s="8" t="inlineStr">
        <is>
          <t>Kommentar / Merknad</t>
        </is>
      </c>
    </row>
    <row r="6">
      <c r="B6" s="9" t="inlineStr">
        <is>
          <t>Funksjon</t>
        </is>
      </c>
      <c r="C6" s="10" t="inlineStr">
        <is>
          <t>100</t>
        </is>
      </c>
      <c r="D6" s="10" t="inlineStr">
        <is>
          <t>Politiske styringsorganer</t>
        </is>
      </c>
      <c r="E6" s="24" t="inlineStr">
        <is>
          <t>1 (Drift)</t>
        </is>
      </c>
      <c r="F6" s="10" t="inlineStr">
        <is>
          <t>Obligatorisk</t>
        </is>
      </c>
      <c r="G6" s="24" t="inlineStr">
        <is>
          <t>Kommunestyre, formannskap, kontrollutvalg</t>
        </is>
      </c>
    </row>
    <row r="7">
      <c r="B7" s="9" t="inlineStr">
        <is>
          <t>Funksjon</t>
        </is>
      </c>
      <c r="C7" s="10" t="inlineStr">
        <is>
          <t>120</t>
        </is>
      </c>
      <c r="D7" s="10" t="inlineStr">
        <is>
          <t>Administrasjon og fellesutgifter</t>
        </is>
      </c>
      <c r="E7" s="24" t="inlineStr">
        <is>
          <t>1 (Drift)</t>
        </is>
      </c>
      <c r="F7" s="10" t="inlineStr">
        <is>
          <t>Obligatorisk</t>
        </is>
      </c>
      <c r="G7" s="24" t="inlineStr">
        <is>
          <t>Sentraladministrasjon og stab</t>
        </is>
      </c>
    </row>
    <row r="8">
      <c r="B8" s="9" t="inlineStr">
        <is>
          <t>Funksjon</t>
        </is>
      </c>
      <c r="C8" s="10" t="inlineStr">
        <is>
          <t>202</t>
        </is>
      </c>
      <c r="D8" s="10" t="inlineStr">
        <is>
          <t>Grunnskoleundervisning</t>
        </is>
      </c>
      <c r="E8" s="24" t="inlineStr">
        <is>
          <t>1 (Drift)</t>
        </is>
      </c>
      <c r="F8" s="10" t="inlineStr">
        <is>
          <t>Obligatorisk</t>
        </is>
      </c>
      <c r="G8" s="24" t="inlineStr">
        <is>
          <t>Kommunale skoler, lærere og drift</t>
        </is>
      </c>
    </row>
    <row r="9">
      <c r="B9" s="9" t="inlineStr">
        <is>
          <t>Funksjon</t>
        </is>
      </c>
      <c r="C9" s="10" t="inlineStr">
        <is>
          <t>211</t>
        </is>
      </c>
      <c r="D9" s="10" t="inlineStr">
        <is>
          <t>Styrket tilbud til førskolebarn</t>
        </is>
      </c>
      <c r="E9" s="24" t="inlineStr">
        <is>
          <t>1 (Drift)</t>
        </is>
      </c>
      <c r="F9" s="10" t="inlineStr">
        <is>
          <t>Obligatorisk</t>
        </is>
      </c>
      <c r="G9" s="24" t="inlineStr">
        <is>
          <t>Spesialpedagogisk hjelp barnehage</t>
        </is>
      </c>
    </row>
    <row r="10">
      <c r="B10" s="9" t="inlineStr">
        <is>
          <t>Funksjon</t>
        </is>
      </c>
      <c r="C10" s="10" t="inlineStr">
        <is>
          <t>234</t>
        </is>
      </c>
      <c r="D10" s="10" t="inlineStr">
        <is>
          <t>Aktivitetstilbud barn og unge</t>
        </is>
      </c>
      <c r="E10" s="24" t="inlineStr">
        <is>
          <t>1 (Drift)</t>
        </is>
      </c>
      <c r="F10" s="10" t="inlineStr">
        <is>
          <t>Obligatorisk</t>
        </is>
      </c>
      <c r="G10" s="24" t="inlineStr">
        <is>
          <t>SFO og fritidsklubber</t>
        </is>
      </c>
    </row>
    <row r="11">
      <c r="B11" s="9" t="inlineStr">
        <is>
          <t>Funksjon</t>
        </is>
      </c>
      <c r="C11" s="10" t="inlineStr">
        <is>
          <t>253</t>
        </is>
      </c>
      <c r="D11" s="10" t="inlineStr">
        <is>
          <t>Pleie, omsorg og botilbud</t>
        </is>
      </c>
      <c r="E11" s="24" t="inlineStr">
        <is>
          <t>1 (Drift)</t>
        </is>
      </c>
      <c r="F11" s="10" t="inlineStr">
        <is>
          <t>Obligatorisk</t>
        </is>
      </c>
      <c r="G11" s="24" t="inlineStr">
        <is>
          <t>Sykehjem og heldøgns omsorgsboliger</t>
        </is>
      </c>
    </row>
    <row r="12">
      <c r="B12" s="9" t="inlineStr">
        <is>
          <t>Funksjon</t>
        </is>
      </c>
      <c r="C12" s="10" t="inlineStr">
        <is>
          <t>261</t>
        </is>
      </c>
      <c r="D12" s="10" t="inlineStr">
        <is>
          <t>Hjemmetjenester</t>
        </is>
      </c>
      <c r="E12" s="24" t="inlineStr">
        <is>
          <t>1 (Drift)</t>
        </is>
      </c>
      <c r="F12" s="10" t="inlineStr">
        <is>
          <t>Obligatorisk</t>
        </is>
      </c>
      <c r="G12" s="24" t="inlineStr">
        <is>
          <t>Hjemmesykepleie og praktisk bistand</t>
        </is>
      </c>
    </row>
    <row r="13">
      <c r="B13" s="9" t="inlineStr">
        <is>
          <t>Art</t>
        </is>
      </c>
      <c r="C13" s="10" t="inlineStr">
        <is>
          <t>010</t>
        </is>
      </c>
      <c r="D13" s="10" t="inlineStr">
        <is>
          <t>Fast lønn</t>
        </is>
      </c>
      <c r="E13" s="24" t="inlineStr">
        <is>
          <t>1 (Drift)</t>
        </is>
      </c>
      <c r="F13" s="10" t="inlineStr">
        <is>
          <t>Obligatorisk</t>
        </is>
      </c>
      <c r="G13" s="24" t="inlineStr">
        <is>
          <t>Hovedlønnsart for faste stillinger</t>
        </is>
      </c>
    </row>
    <row r="14">
      <c r="B14" s="9" t="inlineStr">
        <is>
          <t>Art</t>
        </is>
      </c>
      <c r="C14" s="10" t="inlineStr">
        <is>
          <t>020</t>
        </is>
      </c>
      <c r="D14" s="10" t="inlineStr">
        <is>
          <t>Vikarer</t>
        </is>
      </c>
      <c r="E14" s="24" t="inlineStr">
        <is>
          <t>1 (Drift)</t>
        </is>
      </c>
      <c r="F14" s="10" t="inlineStr">
        <is>
          <t>Obligatorisk</t>
        </is>
      </c>
      <c r="G14" s="24" t="inlineStr">
        <is>
          <t>Ekstrahjelp og korttidsvikarer</t>
        </is>
      </c>
    </row>
    <row r="15">
      <c r="B15" s="9" t="inlineStr">
        <is>
          <t>Art</t>
        </is>
      </c>
      <c r="C15" s="10" t="inlineStr">
        <is>
          <t>030</t>
        </is>
      </c>
      <c r="D15" s="10" t="inlineStr">
        <is>
          <t>Overtid og ekstraarbeid</t>
        </is>
      </c>
      <c r="E15" s="24" t="inlineStr">
        <is>
          <t>1 (Drift)</t>
        </is>
      </c>
      <c r="F15" s="10" t="inlineStr">
        <is>
          <t>Obligatorisk</t>
        </is>
      </c>
      <c r="G15" s="24" t="inlineStr">
        <is>
          <t>Overtidstillegg</t>
        </is>
      </c>
    </row>
    <row r="16">
      <c r="B16" s="9" t="inlineStr">
        <is>
          <t>Art</t>
        </is>
      </c>
      <c r="C16" s="10" t="inlineStr">
        <is>
          <t>090</t>
        </is>
      </c>
      <c r="D16" s="10" t="inlineStr">
        <is>
          <t>Pensjonsinnskudd og arbeidsgiveravgift</t>
        </is>
      </c>
      <c r="E16" s="24" t="inlineStr">
        <is>
          <t>1 (Drift)</t>
        </is>
      </c>
      <c r="F16" s="10" t="inlineStr">
        <is>
          <t>Obligatorisk</t>
        </is>
      </c>
      <c r="G16" s="24" t="inlineStr">
        <is>
          <t>KLP / SPK og AGA</t>
        </is>
      </c>
    </row>
    <row r="17">
      <c r="B17" s="9" t="inlineStr">
        <is>
          <t>Art</t>
        </is>
      </c>
      <c r="C17" s="10" t="inlineStr">
        <is>
          <t>120</t>
        </is>
      </c>
      <c r="D17" s="10" t="inlineStr">
        <is>
          <t>Kjøp av varer og tjenester</t>
        </is>
      </c>
      <c r="E17" s="24" t="inlineStr">
        <is>
          <t>1 (Drift)</t>
        </is>
      </c>
      <c r="F17" s="10" t="inlineStr">
        <is>
          <t>Obligatorisk</t>
        </is>
      </c>
      <c r="G17" s="24" t="inlineStr">
        <is>
          <t>Driftsmateriell, konsulenter, lisenser</t>
        </is>
      </c>
    </row>
    <row r="18">
      <c r="B18" s="9" t="inlineStr">
        <is>
          <t>Art</t>
        </is>
      </c>
      <c r="C18" s="10" t="inlineStr">
        <is>
          <t>700</t>
        </is>
      </c>
      <c r="D18" s="10" t="inlineStr">
        <is>
          <t>Refusjoner fra staten</t>
        </is>
      </c>
      <c r="E18" s="24" t="inlineStr">
        <is>
          <t>1 (Drift)</t>
        </is>
      </c>
      <c r="F18" s="10" t="inlineStr">
        <is>
          <t>Obligatorisk</t>
        </is>
      </c>
      <c r="G18" s="24" t="inlineStr">
        <is>
          <t>NAV sykepenger, ressurskrevende tjenester</t>
        </is>
      </c>
    </row>
    <row r="19">
      <c r="B19" s="9" t="inlineStr">
        <is>
          <t>Art</t>
        </is>
      </c>
      <c r="C19" s="10" t="inlineStr">
        <is>
          <t>900</t>
        </is>
      </c>
      <c r="D19" s="10" t="inlineStr">
        <is>
          <t>Bruk av disposisjonsfond</t>
        </is>
      </c>
      <c r="E19" s="24" t="inlineStr">
        <is>
          <t>1 (Drift)</t>
        </is>
      </c>
      <c r="F19" s="10" t="inlineStr">
        <is>
          <t>Obligatorisk</t>
        </is>
      </c>
      <c r="G19" s="24" t="inlineStr">
        <is>
          <t>Finansiering av netto merforbruk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2026-10-18T15:08:53Z</dcterms:created>
  <dcterms:modified xmlns:dcterms="http://purl.org/dc/terms/" xmlns:xsi="http://www.w3.org/2001/XMLSchema-instance" xsi:type="dcterms:W3CDTF">2026-10-18T15:08:53Z</dcterms:modified>
</cp:coreProperties>
</file>