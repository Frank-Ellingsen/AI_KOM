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manningskalky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 &quot;kr&quot;"/>
  </numFmts>
  <fonts count="5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164" fontId="0" fillId="3" borderId="0" pivotButton="0" quotePrefix="0" xfId="0"/>
    <xf numFmtId="165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6" fontId="4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20" customWidth="1" min="2" max="2"/>
    <col width="19" customWidth="1" min="3" max="3"/>
    <col width="15" customWidth="1" min="4" max="4"/>
    <col width="18" customWidth="1" min="5" max="5"/>
    <col width="15" customWidth="1" min="6" max="6"/>
    <col width="19" customWidth="1" min="7" max="7"/>
    <col width="16" customWidth="1" min="8" max="8"/>
    <col width="15" customWidth="1" min="9" max="9"/>
    <col width="23" customWidth="1" min="10" max="10"/>
    <col width="21" customWidth="1" min="11" max="11"/>
  </cols>
  <sheetData>
    <row r="1">
      <c r="A1" s="1" t="inlineStr">
        <is>
          <t>KRISTIANSAND KOMMUNE — BEMANNINGS- OG VIKARKALKYLE</t>
        </is>
      </c>
    </row>
    <row r="2">
      <c r="A2" s="2" t="inlineStr">
        <is>
          <t>Selvhjelpsverktøy for enhetsledere: Beregn merkostnad ved vikarbyrå mot egenbemanning.</t>
        </is>
      </c>
    </row>
    <row r="3"/>
    <row r="4">
      <c r="A4" s="3" t="inlineStr">
        <is>
          <t>Måned</t>
        </is>
      </c>
      <c r="B4" s="4" t="inlineStr">
        <is>
          <t>Planlagte Årsverk</t>
        </is>
      </c>
      <c r="C4" s="3" t="inlineStr">
        <is>
          <t>Faktisk Fravær %</t>
        </is>
      </c>
      <c r="D4" s="4" t="inlineStr">
        <is>
          <t>Fraværstimer</t>
        </is>
      </c>
      <c r="E4" s="4" t="inlineStr">
        <is>
          <t>Egenvikar Timer</t>
        </is>
      </c>
      <c r="F4" s="4" t="inlineStr">
        <is>
          <t>Egenvikar Kr</t>
        </is>
      </c>
      <c r="G4" s="4" t="inlineStr">
        <is>
          <t>Byråvikar Timer</t>
        </is>
      </c>
      <c r="H4" s="4" t="inlineStr">
        <is>
          <t>Byrå Timepris</t>
        </is>
      </c>
      <c r="I4" s="4" t="inlineStr">
        <is>
          <t>Byråvikar Kr</t>
        </is>
      </c>
      <c r="J4" s="4" t="inlineStr">
        <is>
          <t>Mottatt NAV Refusjon</t>
        </is>
      </c>
      <c r="K4" s="4" t="inlineStr">
        <is>
          <t>Netto Vikarkostnad</t>
        </is>
      </c>
    </row>
    <row r="5">
      <c r="A5" s="5" t="inlineStr">
        <is>
          <t>Januar</t>
        </is>
      </c>
      <c r="B5" s="6" t="n">
        <v>35</v>
      </c>
      <c r="C5" s="7" t="n">
        <v>0.095</v>
      </c>
      <c r="D5" s="8">
        <f>B5*150*C5</f>
        <v/>
      </c>
      <c r="E5" s="8" t="n">
        <v>250</v>
      </c>
      <c r="F5" s="9">
        <f>E5*380</f>
        <v/>
      </c>
      <c r="G5" s="8">
        <f>MAX(0, D5-E5)</f>
        <v/>
      </c>
      <c r="H5" s="9" t="n">
        <v>650</v>
      </c>
      <c r="I5" s="9">
        <f>G5*H5</f>
        <v/>
      </c>
      <c r="J5" s="9">
        <f>D5*320*0.7</f>
        <v/>
      </c>
      <c r="K5" s="10">
        <f>F5+I5-J5</f>
        <v/>
      </c>
    </row>
    <row r="6">
      <c r="A6" s="11" t="inlineStr">
        <is>
          <t>Februar</t>
        </is>
      </c>
      <c r="B6" s="12" t="n">
        <v>35</v>
      </c>
      <c r="C6" s="13" t="n">
        <v>0.095</v>
      </c>
      <c r="D6" s="14">
        <f>B6*150*C6</f>
        <v/>
      </c>
      <c r="E6" s="14" t="n">
        <v>250</v>
      </c>
      <c r="F6" s="15">
        <f>E6*380</f>
        <v/>
      </c>
      <c r="G6" s="14">
        <f>MAX(0, D6-E6)</f>
        <v/>
      </c>
      <c r="H6" s="15" t="n">
        <v>650</v>
      </c>
      <c r="I6" s="15">
        <f>G6*H6</f>
        <v/>
      </c>
      <c r="J6" s="15">
        <f>D6*320*0.7</f>
        <v/>
      </c>
      <c r="K6" s="16">
        <f>F6+I6-J6</f>
        <v/>
      </c>
    </row>
    <row r="7">
      <c r="A7" s="5" t="inlineStr">
        <is>
          <t>Mars</t>
        </is>
      </c>
      <c r="B7" s="6" t="n">
        <v>35</v>
      </c>
      <c r="C7" s="7" t="n">
        <v>0.095</v>
      </c>
      <c r="D7" s="8">
        <f>B7*150*C7</f>
        <v/>
      </c>
      <c r="E7" s="8" t="n">
        <v>250</v>
      </c>
      <c r="F7" s="9">
        <f>E7*380</f>
        <v/>
      </c>
      <c r="G7" s="8">
        <f>MAX(0, D7-E7)</f>
        <v/>
      </c>
      <c r="H7" s="9" t="n">
        <v>650</v>
      </c>
      <c r="I7" s="9">
        <f>G7*H7</f>
        <v/>
      </c>
      <c r="J7" s="9">
        <f>D7*320*0.7</f>
        <v/>
      </c>
      <c r="K7" s="10">
        <f>F7+I7-J7</f>
        <v/>
      </c>
    </row>
    <row r="8">
      <c r="A8" s="11" t="inlineStr">
        <is>
          <t>April</t>
        </is>
      </c>
      <c r="B8" s="12" t="n">
        <v>35</v>
      </c>
      <c r="C8" s="13" t="n">
        <v>0.095</v>
      </c>
      <c r="D8" s="14">
        <f>B8*150*C8</f>
        <v/>
      </c>
      <c r="E8" s="14" t="n">
        <v>250</v>
      </c>
      <c r="F8" s="15">
        <f>E8*380</f>
        <v/>
      </c>
      <c r="G8" s="14">
        <f>MAX(0, D8-E8)</f>
        <v/>
      </c>
      <c r="H8" s="15" t="n">
        <v>650</v>
      </c>
      <c r="I8" s="15">
        <f>G8*H8</f>
        <v/>
      </c>
      <c r="J8" s="15">
        <f>D8*320*0.7</f>
        <v/>
      </c>
      <c r="K8" s="16">
        <f>F8+I8-J8</f>
        <v/>
      </c>
    </row>
    <row r="9">
      <c r="A9" s="5" t="inlineStr">
        <is>
          <t>Mai</t>
        </is>
      </c>
      <c r="B9" s="6" t="n">
        <v>35</v>
      </c>
      <c r="C9" s="7" t="n">
        <v>0.095</v>
      </c>
      <c r="D9" s="8">
        <f>B9*150*C9</f>
        <v/>
      </c>
      <c r="E9" s="8" t="n">
        <v>250</v>
      </c>
      <c r="F9" s="9">
        <f>E9*380</f>
        <v/>
      </c>
      <c r="G9" s="8">
        <f>MAX(0, D9-E9)</f>
        <v/>
      </c>
      <c r="H9" s="9" t="n">
        <v>650</v>
      </c>
      <c r="I9" s="9">
        <f>G9*H9</f>
        <v/>
      </c>
      <c r="J9" s="9">
        <f>D9*320*0.7</f>
        <v/>
      </c>
      <c r="K9" s="10">
        <f>F9+I9-J9</f>
        <v/>
      </c>
    </row>
    <row r="10">
      <c r="A10" s="11" t="inlineStr">
        <is>
          <t>Juni</t>
        </is>
      </c>
      <c r="B10" s="12" t="n">
        <v>35</v>
      </c>
      <c r="C10" s="13" t="n">
        <v>0.095</v>
      </c>
      <c r="D10" s="14">
        <f>B10*150*C10</f>
        <v/>
      </c>
      <c r="E10" s="14" t="n">
        <v>250</v>
      </c>
      <c r="F10" s="15">
        <f>E10*380</f>
        <v/>
      </c>
      <c r="G10" s="14">
        <f>MAX(0, D10-E10)</f>
        <v/>
      </c>
      <c r="H10" s="15" t="n">
        <v>650</v>
      </c>
      <c r="I10" s="15">
        <f>G10*H10</f>
        <v/>
      </c>
      <c r="J10" s="15">
        <f>D10*320*0.7</f>
        <v/>
      </c>
      <c r="K10" s="16">
        <f>F10+I10-J10</f>
        <v/>
      </c>
    </row>
    <row r="11">
      <c r="A11" s="5" t="inlineStr">
        <is>
          <t>Juli</t>
        </is>
      </c>
      <c r="B11" s="6" t="n">
        <v>35</v>
      </c>
      <c r="C11" s="7" t="n">
        <v>0.095</v>
      </c>
      <c r="D11" s="8">
        <f>B11*150*C11</f>
        <v/>
      </c>
      <c r="E11" s="8" t="n">
        <v>250</v>
      </c>
      <c r="F11" s="9">
        <f>E11*380</f>
        <v/>
      </c>
      <c r="G11" s="8">
        <f>MAX(0, D11-E11)</f>
        <v/>
      </c>
      <c r="H11" s="9" t="n">
        <v>650</v>
      </c>
      <c r="I11" s="9">
        <f>G11*H11</f>
        <v/>
      </c>
      <c r="J11" s="9">
        <f>D11*320*0.7</f>
        <v/>
      </c>
      <c r="K11" s="10">
        <f>F11+I11-J11</f>
        <v/>
      </c>
    </row>
    <row r="12">
      <c r="A12" s="11" t="inlineStr">
        <is>
          <t>August</t>
        </is>
      </c>
      <c r="B12" s="12" t="n">
        <v>35</v>
      </c>
      <c r="C12" s="13" t="n">
        <v>0.095</v>
      </c>
      <c r="D12" s="14">
        <f>B12*150*C12</f>
        <v/>
      </c>
      <c r="E12" s="14" t="n">
        <v>250</v>
      </c>
      <c r="F12" s="15">
        <f>E12*380</f>
        <v/>
      </c>
      <c r="G12" s="14">
        <f>MAX(0, D12-E12)</f>
        <v/>
      </c>
      <c r="H12" s="15" t="n">
        <v>650</v>
      </c>
      <c r="I12" s="15">
        <f>G12*H12</f>
        <v/>
      </c>
      <c r="J12" s="15">
        <f>D12*320*0.7</f>
        <v/>
      </c>
      <c r="K12" s="16">
        <f>F12+I12-J12</f>
        <v/>
      </c>
    </row>
    <row r="13">
      <c r="A13" s="5" t="inlineStr">
        <is>
          <t>September</t>
        </is>
      </c>
      <c r="B13" s="6" t="n">
        <v>35</v>
      </c>
      <c r="C13" s="7" t="n">
        <v>0.095</v>
      </c>
      <c r="D13" s="8">
        <f>B13*150*C13</f>
        <v/>
      </c>
      <c r="E13" s="8" t="n">
        <v>250</v>
      </c>
      <c r="F13" s="9">
        <f>E13*380</f>
        <v/>
      </c>
      <c r="G13" s="8">
        <f>MAX(0, D13-E13)</f>
        <v/>
      </c>
      <c r="H13" s="9" t="n">
        <v>650</v>
      </c>
      <c r="I13" s="9">
        <f>G13*H13</f>
        <v/>
      </c>
      <c r="J13" s="9">
        <f>D13*320*0.7</f>
        <v/>
      </c>
      <c r="K13" s="10">
        <f>F13+I13-J13</f>
        <v/>
      </c>
    </row>
    <row r="14">
      <c r="A14" s="11" t="inlineStr">
        <is>
          <t>Oktober</t>
        </is>
      </c>
      <c r="B14" s="12" t="n">
        <v>35</v>
      </c>
      <c r="C14" s="13" t="n">
        <v>0.095</v>
      </c>
      <c r="D14" s="14">
        <f>B14*150*C14</f>
        <v/>
      </c>
      <c r="E14" s="14" t="n">
        <v>250</v>
      </c>
      <c r="F14" s="15">
        <f>E14*380</f>
        <v/>
      </c>
      <c r="G14" s="14">
        <f>MAX(0, D14-E14)</f>
        <v/>
      </c>
      <c r="H14" s="15" t="n">
        <v>650</v>
      </c>
      <c r="I14" s="15">
        <f>G14*H14</f>
        <v/>
      </c>
      <c r="J14" s="15">
        <f>D14*320*0.7</f>
        <v/>
      </c>
      <c r="K14" s="16">
        <f>F14+I14-J14</f>
        <v/>
      </c>
    </row>
    <row r="15">
      <c r="A15" s="5" t="inlineStr">
        <is>
          <t>November</t>
        </is>
      </c>
      <c r="B15" s="6" t="n">
        <v>35</v>
      </c>
      <c r="C15" s="7" t="n">
        <v>0.095</v>
      </c>
      <c r="D15" s="8">
        <f>B15*150*C15</f>
        <v/>
      </c>
      <c r="E15" s="8" t="n">
        <v>250</v>
      </c>
      <c r="F15" s="9">
        <f>E15*380</f>
        <v/>
      </c>
      <c r="G15" s="8">
        <f>MAX(0, D15-E15)</f>
        <v/>
      </c>
      <c r="H15" s="9" t="n">
        <v>650</v>
      </c>
      <c r="I15" s="9">
        <f>G15*H15</f>
        <v/>
      </c>
      <c r="J15" s="9">
        <f>D15*320*0.7</f>
        <v/>
      </c>
      <c r="K15" s="10">
        <f>F15+I15-J15</f>
        <v/>
      </c>
    </row>
    <row r="16">
      <c r="A16" s="11" t="inlineStr">
        <is>
          <t>Desember</t>
        </is>
      </c>
      <c r="B16" s="12" t="n">
        <v>35</v>
      </c>
      <c r="C16" s="13" t="n">
        <v>0.095</v>
      </c>
      <c r="D16" s="14">
        <f>B16*150*C16</f>
        <v/>
      </c>
      <c r="E16" s="14" t="n">
        <v>250</v>
      </c>
      <c r="F16" s="15">
        <f>E16*380</f>
        <v/>
      </c>
      <c r="G16" s="14">
        <f>MAX(0, D16-E16)</f>
        <v/>
      </c>
      <c r="H16" s="15" t="n">
        <v>650</v>
      </c>
      <c r="I16" s="15">
        <f>G16*H16</f>
        <v/>
      </c>
      <c r="J16" s="15">
        <f>D16*320*0.7</f>
        <v/>
      </c>
      <c r="K16" s="16">
        <f>F16+I16-J16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2026-10-16T15:00:18Z</dcterms:created>
  <dcterms:modified xmlns:dcterms="http://purl.org/dc/terms/" xmlns:xsi="http://www.w3.org/2001/XMLSchema-instance" xsi:type="dcterms:W3CDTF">2026-10-16T15:00:18Z</dcterms:modified>
</cp:coreProperties>
</file>