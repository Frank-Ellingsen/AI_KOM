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 Styring &amp; Workflow" sheetId="1" state="visible" r:id="rId1"/>
    <sheet xmlns:r="http://schemas.openxmlformats.org/officeDocument/2006/relationships" name="1 Nåsituasjon &amp; Drivere" sheetId="2" state="visible" r:id="rId2"/>
    <sheet xmlns:r="http://schemas.openxmlformats.org/officeDocument/2006/relationships" name="2 Prediktiv EAC &amp; Konfidens" sheetId="3" state="visible" r:id="rId3"/>
    <sheet xmlns:r="http://schemas.openxmlformats.org/officeDocument/2006/relationships" name="3 Preskriptiv AI (Tiltak)" sheetId="4" state="visible" r:id="rId4"/>
    <sheet xmlns:r="http://schemas.openxmlformats.org/officeDocument/2006/relationships" name="4 HITL Signoff &amp; Governance" sheetId="5" state="visible" r:id="rId5"/>
    <sheet xmlns:r="http://schemas.openxmlformats.org/officeDocument/2006/relationships" name="5 Revidert EOY &amp; Ny Prognose" sheetId="6" state="visible" r:id="rId6"/>
    <sheet xmlns:r="http://schemas.openxmlformats.org/officeDocument/2006/relationships" name="Data &amp; Kontopla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kr&quot;"/>
    <numFmt numFmtId="165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2E8F0"/>
      <sz val="10"/>
    </font>
    <font>
      <name val="Calibri"/>
      <b val="1"/>
      <color rgb="001B365D"/>
      <sz val="11"/>
    </font>
    <font>
      <name val="Calibri"/>
      <i val="1"/>
      <color rgb="00475569"/>
      <sz val="9"/>
    </font>
    <font>
      <name val="Calibri"/>
      <b val="1"/>
      <color rgb="00FFFFFF"/>
      <sz val="10"/>
    </font>
    <font>
      <name val="Calibri"/>
      <b val="1"/>
      <color rgb="000F172A"/>
      <sz val="10"/>
    </font>
    <font>
      <name val="Calibri"/>
      <b val="1"/>
      <color rgb="001B365D"/>
      <sz val="13"/>
    </font>
    <font>
      <name val="Calibri"/>
      <b val="1"/>
      <color rgb="00C53030"/>
      <sz val="13"/>
    </font>
    <font>
      <name val="Calibri"/>
      <b val="1"/>
      <color rgb="00166534"/>
      <sz val="13"/>
    </font>
    <font>
      <name val="Calibri"/>
      <color rgb="000F172A"/>
      <sz val="10"/>
    </font>
  </fonts>
  <fills count="7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F1F5F9"/>
      </patternFill>
    </fill>
    <fill>
      <patternFill patternType="solid">
        <fgColor rgb="00DCFCE7"/>
      </patternFill>
    </fill>
  </fills>
  <borders count="3">
    <border>
      <left/>
      <right/>
      <top/>
      <bottom/>
      <diagonal/>
    </border>
    <border>
      <bottom style="thin">
        <color rgb="00CBD5E1"/>
      </bottom>
    </border>
    <border>
      <top style="thin">
        <color rgb="00CBD5E1"/>
      </top>
      <bottom style="double">
        <color rgb="00CBD5E1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/>
    </xf>
    <xf numFmtId="0" fontId="6" fillId="0" borderId="1" pivotButton="0" quotePrefix="0" xfId="0"/>
    <xf numFmtId="164" fontId="7" fillId="0" borderId="1" applyAlignment="1" pivotButton="0" quotePrefix="0" xfId="0">
      <alignment horizontal="right" vertical="center"/>
    </xf>
    <xf numFmtId="0" fontId="4" fillId="0" borderId="1" pivotButton="0" quotePrefix="0" xfId="0"/>
    <xf numFmtId="164" fontId="8" fillId="0" borderId="1" applyAlignment="1" pivotButton="0" quotePrefix="0" xfId="0">
      <alignment horizontal="right" vertical="center"/>
    </xf>
    <xf numFmtId="164" fontId="9" fillId="0" borderId="1" applyAlignment="1" pivotButton="0" quotePrefix="0" xfId="0">
      <alignment horizontal="right" vertical="center"/>
    </xf>
    <xf numFmtId="0" fontId="10" fillId="0" borderId="1" pivotButton="0" quotePrefix="0" xfId="0"/>
    <xf numFmtId="164" fontId="10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0" fontId="6" fillId="0" borderId="0" pivotButton="0" quotePrefix="0" xfId="0"/>
    <xf numFmtId="164" fontId="6" fillId="0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left" vertical="center"/>
    </xf>
    <xf numFmtId="165" fontId="6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0" borderId="2" pivotButton="0" quotePrefix="0" xfId="0"/>
    <xf numFmtId="164" fontId="6" fillId="0" borderId="2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right" vertical="center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58" customWidth="1" min="2" max="2"/>
    <col width="5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8" customHeight="1">
      <c r="A1" s="1" t="inlineStr">
        <is>
          <t>Kristiansand kommune · Bo og Miljø (Enhet 5200 · KOSTRA 254)</t>
        </is>
      </c>
    </row>
    <row r="2" ht="18" customHeight="1">
      <c r="A2" s="2" t="inlineStr">
        <is>
          <t>EPM Virksomhetsstyring · AI-Assistert Beslutningsstøtte &amp; Human-in-the-Loop (HITL) Sløyfe | Controller: Frank Ellingsen</t>
        </is>
      </c>
    </row>
    <row r="3" ht="8" customHeight="1"/>
    <row r="4">
      <c r="A4" s="3" t="inlineStr">
        <is>
          <t>STYRINGSRAMME &amp; FORVALTNINGSPRINSIPPER</t>
        </is>
      </c>
    </row>
    <row r="5" ht="32" customHeight="1">
      <c r="A5" s="4" t="inlineStr">
        <is>
          <t>Dette styringsdokumentet operasjonaliserer Kristiansand kommunes økonomimodell i henhold til Kommuneloven §§ 14-5 og 14-6.
All AI-støtte fungerer etter 'Human-in-the-Loop' prinsippet (EU AI Act Art. 14): AI-modeller analyserer avvik og foreslår tiltak, men ingen tiltakseffekt godskrives i regnskapsprognosen uten eksplisitt saksbehandlergodkjenning og dokumentert fag-/tariffkontroll (HTA § 4).</t>
        </is>
      </c>
    </row>
    <row r="7">
      <c r="A7" s="5" t="inlineStr">
        <is>
          <t>Styringsparameter</t>
        </is>
      </c>
      <c r="B7" s="6" t="inlineStr">
        <is>
          <t>Beløp / Verdi</t>
        </is>
      </c>
      <c r="C7" s="5" t="inlineStr">
        <is>
          <t>Merknad / Status</t>
        </is>
      </c>
    </row>
    <row r="8" ht="20" customHeight="1">
      <c r="A8" s="7" t="inlineStr">
        <is>
          <t>Vedtatt Årsbudsjett (BAC)</t>
        </is>
      </c>
      <c r="B8" s="8" t="n">
        <v>17233691</v>
      </c>
      <c r="C8" s="9" t="inlineStr">
        <is>
          <t>Bevilget årsramme for Enhet 5200</t>
        </is>
      </c>
    </row>
    <row r="9" ht="20" customHeight="1">
      <c r="A9" s="7" t="inlineStr">
        <is>
          <t>Bokført Regnskap YTD</t>
        </is>
      </c>
      <c r="B9" s="8" t="n">
        <v>12622851.42</v>
      </c>
      <c r="C9" s="9" t="inlineStr">
        <is>
          <t>Faktisk bokført Jan–Aug (73,2 % av årsramme)</t>
        </is>
      </c>
    </row>
    <row r="10" ht="20" customHeight="1">
      <c r="A10" s="7" t="inlineStr">
        <is>
          <t>Merforbruk YTD</t>
        </is>
      </c>
      <c r="B10" s="10" t="n">
        <v>1285614.42</v>
      </c>
      <c r="C10" s="9" t="inlineStr">
        <is>
          <t>+11,3 % over periodisert budsjett (RØDT)</t>
        </is>
      </c>
    </row>
    <row r="11" ht="20" customHeight="1">
      <c r="A11" s="7" t="inlineStr">
        <is>
          <t>Ujustert EAC (AI Sesongmodell)</t>
        </is>
      </c>
      <c r="B11" s="10" t="n">
        <v>19050222.75</v>
      </c>
      <c r="C11" s="9" t="inlineStr">
        <is>
          <t>+1 816 532 kr merforbruk før tiltak</t>
        </is>
      </c>
    </row>
    <row r="12" ht="20" customHeight="1">
      <c r="A12" s="7" t="inlineStr">
        <is>
          <t>Godkjent Tiltak (HITL)</t>
        </is>
      </c>
      <c r="B12" s="11">
        <f>'4 HITL Signoff &amp; Governance'!H18</f>
        <v/>
      </c>
      <c r="C12" s="9" t="inlineStr">
        <is>
          <t>Dokumentert og godkjent effekt fra HITL-arket</t>
        </is>
      </c>
    </row>
    <row r="13" ht="20" customHeight="1">
      <c r="A13" s="7" t="inlineStr">
        <is>
          <t>Revidert Sluttkostnad (EAC)</t>
        </is>
      </c>
      <c r="B13" s="8">
        <f>B11-B12</f>
        <v/>
      </c>
      <c r="C13" s="9" t="inlineStr">
        <is>
          <t>EAC etter godkjente tiltak</t>
        </is>
      </c>
    </row>
    <row r="14" ht="20" customHeight="1">
      <c r="A14" s="7" t="inlineStr">
        <is>
          <t>Gjenstående Restavvik mot BAC</t>
        </is>
      </c>
      <c r="B14" s="10">
        <f>B13-B8</f>
        <v/>
      </c>
      <c r="C14" s="9" t="inlineStr">
        <is>
          <t>Netto finansieringsgap som krever tertialoppfølging</t>
        </is>
      </c>
    </row>
    <row r="16">
      <c r="A16" s="3" t="inlineStr">
        <is>
          <t>OPERATIV STYRINGS-WORKFLOW (5-TRINNS SLØYFE)</t>
        </is>
      </c>
    </row>
    <row r="17" ht="22" customHeight="1">
      <c r="A17" s="5" t="inlineStr">
        <is>
          <t>Trinn</t>
        </is>
      </c>
      <c r="B17" s="5" t="inlineStr">
        <is>
          <t>Aktivitet &amp; Formål</t>
        </is>
      </c>
      <c r="C17" s="5" t="inlineStr">
        <is>
          <t>Nøkkeltall / Status i Bo og Miljø</t>
        </is>
      </c>
    </row>
    <row r="18" ht="22" customHeight="1">
      <c r="A18" s="7" t="inlineStr">
        <is>
          <t>Trinn 1: Nåsituasjon (Ark '1 Nåsituasjon')</t>
        </is>
      </c>
      <c r="B18" s="12" t="inlineStr">
        <is>
          <t>Avstemmer regnskap mot budsjett. Identifiserer avviksdrivere i KOSTRA-kontoplanen.</t>
        </is>
      </c>
      <c r="C18" s="7" t="inlineStr">
        <is>
          <t>YTD Merforbruk: +1 285 614 kr (10 Lønn står for 1,15 mill. kr)</t>
        </is>
      </c>
    </row>
    <row r="19" ht="22" customHeight="1">
      <c r="A19" s="7" t="inlineStr">
        <is>
          <t>Trinn 2: Prediktiv EAC (Ark '2 Prediktiv EAC')</t>
        </is>
      </c>
      <c r="B19" s="12" t="inlineStr">
        <is>
          <t>Earned Value &amp; sesongjustert tidsserieprognose. Beregner usikkerhetsspenn.</t>
        </is>
      </c>
      <c r="C19" s="7" t="inlineStr">
        <is>
          <t>EAC Sesong: 19 050 223 kr (P10: 18,65m · P50: 19,05m · P90: 19,45m)</t>
        </is>
      </c>
    </row>
    <row r="20" ht="22" customHeight="1">
      <c r="A20" s="7" t="inlineStr">
        <is>
          <t>Trinn 3: Preskriptiv AI (Ark '3 Preskriptiv AI')</t>
        </is>
      </c>
      <c r="B20" s="12" t="inlineStr">
        <is>
          <t>Lokal LLM (Ollama) analyserer avviksmatrisen og genererer 6 kandidattiltak.</t>
        </is>
      </c>
      <c r="C20" s="7" t="inlineStr">
        <is>
          <t>Tiltaksmeny T1..T6 med brutto potensial på 192 967 kr</t>
        </is>
      </c>
    </row>
    <row r="21" ht="22" customHeight="1">
      <c r="A21" s="7" t="inlineStr">
        <is>
          <t>Trinn 4: Human-in-the-Loop (Ark '4 HITL Signoff')</t>
        </is>
      </c>
      <c r="B21" s="12" t="inlineStr">
        <is>
          <t>Controller/leder evaluerer tiltak, dokumenterer kontroll iht. HTA § 4 og signerer.</t>
        </is>
      </c>
      <c r="C21" s="7" t="inlineStr">
        <is>
          <t>Interaktiv Stage-Gate: Kun 'Godkjent' OG 'Ja' godskrives prognosen</t>
        </is>
      </c>
    </row>
    <row r="22" ht="22" customHeight="1">
      <c r="A22" s="7" t="inlineStr">
        <is>
          <t>Trinn 5: Revidert EOY (Ark '5 Revidert EOY')</t>
        </is>
      </c>
      <c r="B22" s="12" t="inlineStr">
        <is>
          <t>Reberegner EOY med godkjent effekt, oppdaterer scenariobro og saksfremlegg.</t>
        </is>
      </c>
      <c r="C22" s="7" t="inlineStr">
        <is>
          <t>Sikker writeback til Excel og uutslettelig revisjonslogg i SQLite</t>
        </is>
      </c>
    </row>
    <row r="24">
      <c r="A24" s="3" t="inlineStr">
        <is>
          <t>SCENARIOBRO FRA VEDTATT RAMME TIL REVIDERT SLUTTPROGNOSE</t>
        </is>
      </c>
    </row>
    <row r="25" ht="22" customHeight="1">
      <c r="A25" s="5" t="inlineStr">
        <is>
          <t>Scenariosteg</t>
        </is>
      </c>
      <c r="B25" s="6" t="inlineStr">
        <is>
          <t>Beløp (kr)</t>
        </is>
      </c>
      <c r="C25" s="5" t="inlineStr">
        <is>
          <t>Forklaring &amp; Forankring</t>
        </is>
      </c>
    </row>
    <row r="26" ht="20" customHeight="1">
      <c r="A26" s="7" t="inlineStr">
        <is>
          <t>1. Vedtatt årsbudsjett (BAC)</t>
        </is>
      </c>
      <c r="B26" s="13" t="n">
        <v>17233691</v>
      </c>
      <c r="C26" s="9" t="inlineStr">
        <is>
          <t>Utgangspunkt og bevilget årsramme for Enhet 5200</t>
        </is>
      </c>
    </row>
    <row r="27" ht="20" customHeight="1">
      <c r="A27" s="12" t="inlineStr">
        <is>
          <t>2. Påløpt YTD merforbruk (pr 2. tertial)</t>
        </is>
      </c>
      <c r="B27" s="13" t="n">
        <v>1285614.42</v>
      </c>
      <c r="C27" s="9" t="inlineStr">
        <is>
          <t>Bokført merforbruk hittil i år (Jan–Aug)</t>
        </is>
      </c>
    </row>
    <row r="28" ht="20" customHeight="1">
      <c r="A28" s="12" t="inlineStr">
        <is>
          <t>3. Forventet T3 sesong- og trendmerforbruk</t>
        </is>
      </c>
      <c r="B28" s="13" t="n">
        <v>530917.33</v>
      </c>
      <c r="C28" s="9" t="inlineStr">
        <is>
          <t>Estimert merforbruk Sep–Des før nye tiltak</t>
        </is>
      </c>
    </row>
    <row r="29" ht="20" customHeight="1">
      <c r="A29" s="7" t="inlineStr">
        <is>
          <t>4. Ujustert EAC Sluttprognose (AI Sesong)</t>
        </is>
      </c>
      <c r="B29" s="14">
        <f>B26+B27+B28</f>
        <v/>
      </c>
      <c r="C29" s="9" t="inlineStr">
        <is>
          <t>AI Sesongmodell (19 050 222,75 kr) før tiltak</t>
        </is>
      </c>
    </row>
    <row r="30" ht="20" customHeight="1">
      <c r="A30" s="12" t="inlineStr">
        <is>
          <t>5. Hypotetisk full kandidat-effekt (T1–T6)</t>
        </is>
      </c>
      <c r="B30" s="13" t="n">
        <v>-192966.73</v>
      </c>
      <c r="C30" s="9" t="inlineStr">
        <is>
          <t>Dersom alle AI-kandidater realiseres uten barrierer</t>
        </is>
      </c>
    </row>
    <row r="31" ht="20" customHeight="1">
      <c r="A31" s="12" t="inlineStr">
        <is>
          <t>6. Dokumentert godkjent tiltakseffekt (HITL)</t>
        </is>
      </c>
      <c r="B31" s="13">
        <f>-'4 HITL Signoff &amp; Governance'!H18</f>
        <v/>
      </c>
      <c r="C31" s="9" t="inlineStr">
        <is>
          <t>Faktisk godkjent effekt etter HTA § 4 og fagkontroll</t>
        </is>
      </c>
    </row>
    <row r="32" ht="20" customHeight="1">
      <c r="A32" s="7" t="inlineStr">
        <is>
          <t>7. Revidert EAC Sluttkostnad</t>
        </is>
      </c>
      <c r="B32" s="14">
        <f>B29+B31</f>
        <v/>
      </c>
      <c r="C32" s="9" t="inlineStr">
        <is>
          <t>Endelig prognose etter besluttede tiltak</t>
        </is>
      </c>
    </row>
    <row r="33" ht="20" customHeight="1">
      <c r="A33" s="7" t="inlineStr">
        <is>
          <t>8. Gjenstående restavvik mot årsbudsjett</t>
        </is>
      </c>
      <c r="B33" s="14">
        <f>B32-B26</f>
        <v/>
      </c>
      <c r="C33" s="9" t="inlineStr">
        <is>
          <t>Netto finansieringsgap som må rapporteres til kommunalsjef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37" customWidth="1" min="2" max="2"/>
    <col width="40" customWidth="1" min="3" max="3"/>
    <col width="17" customWidth="1" min="4" max="4"/>
    <col width="17" customWidth="1" min="5" max="5"/>
    <col width="22" customWidth="1" min="6" max="6"/>
    <col width="20" customWidth="1" min="7" max="7"/>
    <col width="33" customWidth="1" min="8" max="8"/>
  </cols>
  <sheetData>
    <row r="1" ht="28" customHeight="1">
      <c r="A1" s="1" t="inlineStr">
        <is>
          <t>1. Nåsituasjon &amp; Avviksdrivere · Bo og Miljø (T2/2024)</t>
        </is>
      </c>
    </row>
    <row r="2" ht="18" customHeight="1">
      <c r="A2" s="2" t="inlineStr">
        <is>
          <t>Avstemming mot Unit4 ERP og Visma Enterprise | KOSTRA Funksjon 254 | Tall i NOK</t>
        </is>
      </c>
    </row>
    <row r="3" ht="8" customHeight="1"/>
    <row r="4">
      <c r="A4" s="3" t="inlineStr">
        <is>
          <t>AVSTEMMING REGNSKAP MOT BUDSJETT YTD (JANUAR – AUGUST 2024)</t>
        </is>
      </c>
    </row>
    <row r="5" ht="20" customHeight="1">
      <c r="A5" s="15" t="inlineStr">
        <is>
          <t>Periodisert Budsjett YTD</t>
        </is>
      </c>
      <c r="B5" s="16" t="n">
        <v>11337237</v>
      </c>
      <c r="C5" s="4" t="inlineStr">
        <is>
          <t>65,8 % av årsbudsjett</t>
        </is>
      </c>
    </row>
    <row r="6" ht="20" customHeight="1">
      <c r="A6" s="15" t="inlineStr">
        <is>
          <t>Bokført Regnskap YTD</t>
        </is>
      </c>
      <c r="B6" s="16" t="n">
        <v>12622851.42</v>
      </c>
      <c r="C6" s="4" t="inlineStr">
        <is>
          <t>73,2 % av årsbudsjett</t>
        </is>
      </c>
    </row>
    <row r="7" ht="20" customHeight="1">
      <c r="A7" s="15" t="inlineStr">
        <is>
          <t>Netto Merforbruk YTD</t>
        </is>
      </c>
      <c r="B7" s="16" t="n">
        <v>1285614.42</v>
      </c>
      <c r="C7" s="4" t="inlineStr">
        <is>
          <t>+11,3 % over budsjettert ramme (RØDT)</t>
        </is>
      </c>
    </row>
    <row r="9">
      <c r="A9" s="3" t="inlineStr">
        <is>
          <t>FORSKJELLER PER KOSTRA HOVEDGRUPPE</t>
        </is>
      </c>
    </row>
    <row r="10" ht="24" customHeight="1">
      <c r="A10" s="17" t="inlineStr">
        <is>
          <t>Hovedgruppe</t>
        </is>
      </c>
      <c r="B10" s="17" t="inlineStr">
        <is>
          <t>Budsjett YTD</t>
        </is>
      </c>
      <c r="C10" s="17" t="inlineStr">
        <is>
          <t>Regnskap YTD</t>
        </is>
      </c>
      <c r="D10" s="17" t="inlineStr">
        <is>
          <t>Merforbruk YTD</t>
        </is>
      </c>
      <c r="E10" s="17" t="inlineStr">
        <is>
          <t>Avvik %</t>
        </is>
      </c>
      <c r="F10" s="17" t="inlineStr">
        <is>
          <t>Andel av Merforbruk</t>
        </is>
      </c>
    </row>
    <row r="11" ht="20" customHeight="1">
      <c r="A11" s="7" t="inlineStr">
        <is>
          <t>1 Lønn &amp; Sosiale Kostnader</t>
        </is>
      </c>
      <c r="B11" s="13" t="n">
        <v>11025573</v>
      </c>
      <c r="C11" s="13" t="n">
        <v>12175245.34</v>
      </c>
      <c r="D11" s="13" t="n">
        <v>1149672.34</v>
      </c>
      <c r="E11" s="18" t="n">
        <v>0.1043</v>
      </c>
      <c r="F11" s="19" t="n">
        <v>0.8943</v>
      </c>
    </row>
    <row r="12" ht="20" customHeight="1">
      <c r="A12" s="7" t="inlineStr">
        <is>
          <t>2 Andre Driftsutgifter</t>
        </is>
      </c>
      <c r="B12" s="13" t="n">
        <v>311552</v>
      </c>
      <c r="C12" s="13" t="n">
        <v>455666.08</v>
      </c>
      <c r="D12" s="13" t="n">
        <v>144114.08</v>
      </c>
      <c r="E12" s="18" t="n">
        <v>0.4626</v>
      </c>
      <c r="F12" s="19" t="n">
        <v>0.1121</v>
      </c>
    </row>
    <row r="13" ht="20" customHeight="1">
      <c r="A13" s="7" t="inlineStr">
        <is>
          <t>3 Salgs- og Leieinntekter</t>
        </is>
      </c>
      <c r="B13" s="13" t="n">
        <v>112</v>
      </c>
      <c r="C13" s="13" t="n">
        <v>-8060</v>
      </c>
      <c r="D13" s="13" t="n">
        <v>-8172</v>
      </c>
      <c r="E13" s="19" t="n">
        <v>-72.964</v>
      </c>
      <c r="F13" s="19" t="n">
        <v>-0.0064</v>
      </c>
    </row>
    <row r="15">
      <c r="A15" s="3" t="inlineStr">
        <is>
          <t>TOPP 8 BOKFØRTE AVVIKSDRIVERE (KOSTRA ARTSNIVÅ)</t>
        </is>
      </c>
    </row>
    <row r="16" ht="24" customHeight="1">
      <c r="A16" s="17" t="inlineStr">
        <is>
          <t>Art</t>
        </is>
      </c>
      <c r="B16" s="17" t="inlineStr">
        <is>
          <t>Kontonavn</t>
        </is>
      </c>
      <c r="C16" s="17" t="inlineStr">
        <is>
          <t>Regnskap YTD</t>
        </is>
      </c>
      <c r="D16" s="17" t="inlineStr">
        <is>
          <t>Budsjett YTD</t>
        </is>
      </c>
      <c r="E16" s="17" t="inlineStr">
        <is>
          <t>Merforbruk YTD</t>
        </is>
      </c>
      <c r="F16" s="17" t="inlineStr">
        <is>
          <t>Månedsgj.snitt</t>
        </is>
      </c>
      <c r="G16" s="17" t="inlineStr">
        <is>
          <t>Estimert T3 Behov</t>
        </is>
      </c>
      <c r="H16" s="17" t="inlineStr">
        <is>
          <t>Driverkategori</t>
        </is>
      </c>
    </row>
    <row r="17" ht="20" customHeight="1">
      <c r="A17" s="20" t="inlineStr">
        <is>
          <t>1010</t>
        </is>
      </c>
      <c r="B17" s="12" t="inlineStr">
        <is>
          <t>Fastlønn - ordinære</t>
        </is>
      </c>
      <c r="C17" s="13" t="n">
        <v>6206768.61</v>
      </c>
      <c r="D17" s="13" t="n">
        <v>5731850</v>
      </c>
      <c r="E17" s="13" t="n">
        <v>474918.61</v>
      </c>
      <c r="F17" s="13" t="n">
        <v>775846.08</v>
      </c>
      <c r="G17" s="13" t="n">
        <v>3103384.3</v>
      </c>
      <c r="H17" s="9" t="inlineStr">
        <is>
          <t>Grunnbemanning / vakanser</t>
        </is>
      </c>
    </row>
    <row r="18" ht="20" customHeight="1">
      <c r="A18" s="20" t="inlineStr">
        <is>
          <t>1270</t>
        </is>
      </c>
      <c r="B18" s="12" t="inlineStr">
        <is>
          <t>Kjøp av vikarbyråtjenester</t>
        </is>
      </c>
      <c r="C18" s="13" t="n">
        <v>382656</v>
      </c>
      <c r="D18" s="13" t="n">
        <v>0</v>
      </c>
      <c r="E18" s="13" t="n">
        <v>382656</v>
      </c>
      <c r="F18" s="13" t="n">
        <v>47832</v>
      </c>
      <c r="G18" s="13" t="n">
        <v>191328</v>
      </c>
      <c r="H18" s="9" t="inlineStr">
        <is>
          <t>Akuttvikarer / bemanningsbyrå</t>
        </is>
      </c>
    </row>
    <row r="19" ht="20" customHeight="1">
      <c r="A19" s="20" t="inlineStr">
        <is>
          <t>1020</t>
        </is>
      </c>
      <c r="B19" s="12" t="inlineStr">
        <is>
          <t>Vikar - kvelds- og nattillegg</t>
        </is>
      </c>
      <c r="C19" s="13" t="n">
        <v>259304.09</v>
      </c>
      <c r="D19" s="13" t="n">
        <v>0</v>
      </c>
      <c r="E19" s="13" t="n">
        <v>259304.09</v>
      </c>
      <c r="F19" s="13" t="n">
        <v>32413.01</v>
      </c>
      <c r="G19" s="13" t="n">
        <v>149099.85</v>
      </c>
      <c r="H19" s="9" t="inlineStr">
        <is>
          <t>Ubudsjetterte turnustillegg</t>
        </is>
      </c>
    </row>
    <row r="20" ht="20" customHeight="1">
      <c r="A20" s="20" t="inlineStr">
        <is>
          <t>1040</t>
        </is>
      </c>
      <c r="B20" s="12" t="inlineStr">
        <is>
          <t>Overtidslønn</t>
        </is>
      </c>
      <c r="C20" s="13" t="n">
        <v>242075.85</v>
      </c>
      <c r="D20" s="13" t="n">
        <v>56504</v>
      </c>
      <c r="E20" s="13" t="n">
        <v>185571.85</v>
      </c>
      <c r="F20" s="13" t="n">
        <v>30259.48</v>
      </c>
      <c r="G20" s="13" t="n">
        <v>139193.61</v>
      </c>
      <c r="H20" s="9" t="inlineStr">
        <is>
          <t>Sykefraværsdekning helg</t>
        </is>
      </c>
    </row>
    <row r="21" ht="20" customHeight="1">
      <c r="A21" s="20" t="inlineStr">
        <is>
          <t>1030</t>
        </is>
      </c>
      <c r="B21" s="12" t="inlineStr">
        <is>
          <t>Ekstrahjelp</t>
        </is>
      </c>
      <c r="C21" s="13" t="n">
        <v>141648.7</v>
      </c>
      <c r="D21" s="13" t="n">
        <v>0</v>
      </c>
      <c r="E21" s="13" t="n">
        <v>141648.7</v>
      </c>
      <c r="F21" s="13" t="n">
        <v>17706.09</v>
      </c>
      <c r="G21" s="13" t="n">
        <v>70824.35000000001</v>
      </c>
      <c r="H21" s="9" t="inlineStr">
        <is>
          <t>Timevikarer ved korttidsfravær</t>
        </is>
      </c>
    </row>
    <row r="22" ht="20" customHeight="1">
      <c r="A22" s="20" t="inlineStr">
        <is>
          <t>1020</t>
        </is>
      </c>
      <c r="B22" s="12" t="inlineStr">
        <is>
          <t>Vikar - lørdags- og søndagstillegg</t>
        </is>
      </c>
      <c r="C22" s="13" t="n">
        <v>140747.32</v>
      </c>
      <c r="D22" s="13" t="n">
        <v>0</v>
      </c>
      <c r="E22" s="13" t="n">
        <v>140747.32</v>
      </c>
      <c r="F22" s="13" t="n">
        <v>17593.42</v>
      </c>
      <c r="G22" s="13" t="n">
        <v>80929.71000000001</v>
      </c>
      <c r="H22" s="9" t="inlineStr">
        <is>
          <t>Helgedekning turnus</t>
        </is>
      </c>
    </row>
    <row r="23" ht="20" customHeight="1">
      <c r="A23" s="20" t="inlineStr">
        <is>
          <t>1099</t>
        </is>
      </c>
      <c r="B23" s="12" t="inlineStr">
        <is>
          <t>Arbeidsgiveravgift</t>
        </is>
      </c>
      <c r="C23" s="13" t="n">
        <v>1527431.13</v>
      </c>
      <c r="D23" s="13" t="n">
        <v>1425817</v>
      </c>
      <c r="E23" s="13" t="n">
        <v>101614.13</v>
      </c>
      <c r="F23" s="13" t="n">
        <v>190928.89</v>
      </c>
      <c r="G23" s="13" t="n">
        <v>763715.5699999999</v>
      </c>
      <c r="H23" s="9" t="inlineStr">
        <is>
          <t>Følgekostnad av lønnsvekst</t>
        </is>
      </c>
    </row>
    <row r="24" ht="20" customHeight="1">
      <c r="A24" s="20" t="inlineStr">
        <is>
          <t>1020</t>
        </is>
      </c>
      <c r="B24" s="12" t="inlineStr">
        <is>
          <t>Vikar - helligdagstillegg</t>
        </is>
      </c>
      <c r="C24" s="13" t="n">
        <v>93469.77</v>
      </c>
      <c r="D24" s="13" t="n">
        <v>0</v>
      </c>
      <c r="E24" s="13" t="n">
        <v>93469.77</v>
      </c>
      <c r="F24" s="13" t="n">
        <v>11683.72</v>
      </c>
      <c r="G24" s="13" t="n">
        <v>53745.12</v>
      </c>
      <c r="H24" s="9" t="inlineStr">
        <is>
          <t>Høytidstillegg påske/mai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58" customWidth="1" min="2" max="2"/>
    <col width="20" customWidth="1" min="3" max="3"/>
    <col width="21" customWidth="1" min="4" max="4"/>
    <col width="36" customWidth="1" min="5" max="5"/>
    <col width="12" customWidth="1" min="6" max="6"/>
    <col width="17" customWidth="1" min="7" max="7"/>
    <col width="12" customWidth="1" min="8" max="8"/>
  </cols>
  <sheetData>
    <row r="1" ht="28" customHeight="1">
      <c r="A1" s="1" t="inlineStr">
        <is>
          <t>2. Prediktiv EAC/ETC Prognosemodellering · Prosjektcontrolling</t>
        </is>
      </c>
    </row>
    <row r="2" ht="18" customHeight="1">
      <c r="A2" s="2" t="inlineStr">
        <is>
          <t>Earned Value Management (BAC/ACWP/ETC/EAC) · Tidsserier &amp; Konfidensintervaller (P10-P50-P90)</t>
        </is>
      </c>
    </row>
    <row r="3" ht="8" customHeight="1"/>
    <row r="4">
      <c r="A4" s="3" t="inlineStr">
        <is>
          <t>SAMMENLIGNING AV PROGNOSEMODELLER (END OF YEAR - EAC)</t>
        </is>
      </c>
    </row>
    <row r="5" ht="24" customHeight="1">
      <c r="A5" s="17" t="inlineStr">
        <is>
          <t>Modellnavn</t>
        </is>
      </c>
      <c r="B5" s="17" t="inlineStr">
        <is>
          <t>Metodikk &amp; Forutsetning</t>
        </is>
      </c>
      <c r="C5" s="17" t="inlineStr">
        <is>
          <t>EAC Sluttprognose</t>
        </is>
      </c>
      <c r="D5" s="17" t="inlineStr">
        <is>
          <t>Årsbudsjett (BAC)</t>
        </is>
      </c>
      <c r="E5" s="17" t="inlineStr">
        <is>
          <t>Prognosert Avvik</t>
        </is>
      </c>
      <c r="F5" s="17" t="inlineStr">
        <is>
          <t>Avvik %</t>
        </is>
      </c>
      <c r="G5" s="17" t="inlineStr">
        <is>
          <t>Styringssignal</t>
        </is>
      </c>
    </row>
    <row r="6" ht="22" customHeight="1">
      <c r="A6" s="7" t="inlineStr">
        <is>
          <t>1. Excel Sjablong</t>
        </is>
      </c>
      <c r="B6" s="12" t="inlineStr">
        <is>
          <t>YTD Regnskap + Restbudsjett + (50 % x Merforbruk)</t>
        </is>
      </c>
      <c r="C6" s="14" t="n">
        <v>19162112.63</v>
      </c>
      <c r="D6" s="13" t="n">
        <v>17233691</v>
      </c>
      <c r="E6" s="14" t="n">
        <v>1928421.63</v>
      </c>
      <c r="F6" s="18" t="n">
        <v>-0.1119</v>
      </c>
      <c r="G6" s="21" t="inlineStr">
        <is>
          <t>RØD</t>
        </is>
      </c>
    </row>
    <row r="7" ht="22" customHeight="1">
      <c r="A7" s="7" t="inlineStr">
        <is>
          <t>2. Lineær Run-rate</t>
        </is>
      </c>
      <c r="B7" s="12" t="inlineStr">
        <is>
          <t>Mekanisk ekstrapolering: (YTD / 8) x 12</t>
        </is>
      </c>
      <c r="C7" s="14" t="n">
        <v>18934277.13</v>
      </c>
      <c r="D7" s="13" t="n">
        <v>17233691</v>
      </c>
      <c r="E7" s="14" t="n">
        <v>1700586.13</v>
      </c>
      <c r="F7" s="18" t="n">
        <v>-0.0987</v>
      </c>
      <c r="G7" s="22" t="inlineStr">
        <is>
          <t>GUL</t>
        </is>
      </c>
    </row>
    <row r="8" ht="22" customHeight="1">
      <c r="A8" s="7" t="inlineStr">
        <is>
          <t>3. AI Sesongmodell (Anbefalt)</t>
        </is>
      </c>
      <c r="B8" s="12" t="inlineStr">
        <is>
          <t>Driver-basert KOSTRA-artsnivå m/ sesongvekting og NAV-lag</t>
        </is>
      </c>
      <c r="C8" s="14" t="n">
        <v>19050222.75</v>
      </c>
      <c r="D8" s="13" t="n">
        <v>17233691</v>
      </c>
      <c r="E8" s="14" t="n">
        <v>1816531.75</v>
      </c>
      <c r="F8" s="18" t="n">
        <v>-0.1054</v>
      </c>
      <c r="G8" s="21" t="inlineStr">
        <is>
          <t>RØD</t>
        </is>
      </c>
    </row>
    <row r="10">
      <c r="A10" s="3" t="inlineStr">
        <is>
          <t>KONFIDENSINTERVALLER &amp; STRESSTESTING (MONTE CARLO SIMULERING)</t>
        </is>
      </c>
    </row>
    <row r="11" ht="24" customHeight="1">
      <c r="A11" s="17" t="inlineStr">
        <is>
          <t>Persentil</t>
        </is>
      </c>
      <c r="B11" s="17" t="inlineStr">
        <is>
          <t>Scenariobeskrivelse</t>
        </is>
      </c>
      <c r="C11" s="17" t="inlineStr">
        <is>
          <t>EAC Sluttbeløp</t>
        </is>
      </c>
      <c r="D11" s="17" t="inlineStr">
        <is>
          <t>Merforbruk mot BAC</t>
        </is>
      </c>
      <c r="E11" s="17" t="inlineStr">
        <is>
          <t>Sannsynlighet</t>
        </is>
      </c>
    </row>
    <row r="12" ht="22" customHeight="1">
      <c r="A12" s="7" t="inlineStr">
        <is>
          <t>P10 (Optimistisk)</t>
        </is>
      </c>
      <c r="B12" s="12" t="inlineStr">
        <is>
          <t>Rask refusjonsinngang fra NAV, lavt høstfravær, minimal overtidsbruk i turnus</t>
        </is>
      </c>
      <c r="C12" s="14" t="n">
        <v>18650262.97</v>
      </c>
      <c r="D12" s="14" t="n">
        <v>1416571.97</v>
      </c>
      <c r="E12" s="9" t="inlineStr">
        <is>
          <t>10 % sjanse for lavere kostnad</t>
        </is>
      </c>
    </row>
    <row r="13" ht="22" customHeight="1">
      <c r="A13" s="7" t="inlineStr">
        <is>
          <t>P50 (Forventningsrett)</t>
        </is>
      </c>
      <c r="B13" s="12" t="inlineStr">
        <is>
          <t>Mest sannsynlig utfall uten nye korrigerende tiltak (Sesongnormal)</t>
        </is>
      </c>
      <c r="C13" s="14" t="n">
        <v>19050222.75</v>
      </c>
      <c r="D13" s="14" t="n">
        <v>1816531.75</v>
      </c>
      <c r="E13" s="9" t="inlineStr">
        <is>
          <t>Median forventet sluttresultat</t>
        </is>
      </c>
    </row>
    <row r="14" ht="22" customHeight="1">
      <c r="A14" s="7" t="inlineStr">
        <is>
          <t>P90 (Pessimistisk)</t>
        </is>
      </c>
      <c r="B14" s="12" t="inlineStr">
        <is>
          <t>Stresstest: Høy influensabølge i T3, økt helgeovertid og forsinkede refusjoner</t>
        </is>
      </c>
      <c r="C14" s="14" t="n">
        <v>19449544.32</v>
      </c>
      <c r="D14" s="14" t="n">
        <v>2215853.32</v>
      </c>
      <c r="E14" s="9" t="inlineStr">
        <is>
          <t>90 % konfidensgrense (Worst-case)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47" customWidth="1" min="2" max="2"/>
    <col width="12" customWidth="1" min="3" max="3"/>
    <col width="18" customWidth="1" min="4" max="4"/>
    <col width="12" customWidth="1" min="5" max="5"/>
    <col width="16" customWidth="1" min="6" max="6"/>
    <col width="18" customWidth="1" min="7" max="7"/>
    <col width="17" customWidth="1" min="8" max="8"/>
    <col width="22" customWidth="1" min="9" max="9"/>
    <col width="21" customWidth="1" min="10" max="10"/>
    <col width="58" customWidth="1" min="11" max="11"/>
  </cols>
  <sheetData>
    <row r="1" ht="28" customHeight="1">
      <c r="A1" s="1" t="inlineStr">
        <is>
          <t>3. Preskriptive AI-Kandidattiltak (Ollama LLM Agent)</t>
        </is>
      </c>
    </row>
    <row r="2" ht="18" customHeight="1">
      <c r="A2" s="2" t="inlineStr">
        <is>
          <t>Generert tiltaksmeny · Vurdert opp mot Kommuneloven § 14-5, HTA § 4 og AML § 10-6</t>
        </is>
      </c>
    </row>
    <row r="3" ht="8" customHeight="1"/>
    <row r="4">
      <c r="A4" s="3" t="inlineStr">
        <is>
          <t>AI-MODELLERT TILTAKSMENY (KANDIDATER T1 – T6)</t>
        </is>
      </c>
    </row>
    <row r="5" ht="24" customHeight="1">
      <c r="A5" s="23" t="inlineStr">
        <is>
          <t>ID</t>
        </is>
      </c>
      <c r="B5" s="17" t="inlineStr">
        <is>
          <t>Tiltaksbeskrivelse</t>
        </is>
      </c>
      <c r="C5" s="23" t="inlineStr">
        <is>
          <t>Horisont</t>
        </is>
      </c>
      <c r="D5" s="17" t="inlineStr">
        <is>
          <t>Effektbase (kr)</t>
        </is>
      </c>
      <c r="E5" s="17" t="inlineStr">
        <is>
          <t>Sats %</t>
        </is>
      </c>
      <c r="F5" s="17" t="inlineStr">
        <is>
          <t>Sannsynlighet</t>
        </is>
      </c>
      <c r="G5" s="17" t="inlineStr">
        <is>
          <t>EOY-Effekt (kr)</t>
        </is>
      </c>
      <c r="H5" s="17" t="inlineStr">
        <is>
          <t>Tjenesterisiko</t>
        </is>
      </c>
      <c r="I5" s="17" t="inlineStr">
        <is>
          <t>HR/Tariff (HTA § 4)</t>
        </is>
      </c>
      <c r="J5" s="17" t="inlineStr">
        <is>
          <t>Governance Gate</t>
        </is>
      </c>
      <c r="K5" s="17" t="inlineStr">
        <is>
          <t>Anbefalt Neste Steg</t>
        </is>
      </c>
    </row>
    <row r="6" ht="22" customHeight="1">
      <c r="A6" s="20" t="inlineStr">
        <is>
          <t>T1</t>
        </is>
      </c>
      <c r="B6" s="7" t="inlineStr">
        <is>
          <t>Oppfølging refusjoner og inntektskrav</t>
        </is>
      </c>
      <c r="C6" s="24" t="inlineStr">
        <is>
          <t>Kort</t>
        </is>
      </c>
      <c r="D6" s="13" t="n">
        <v>732705</v>
      </c>
      <c r="E6" s="19" t="n">
        <v>0.08</v>
      </c>
      <c r="F6" s="19" t="n">
        <v>0.85</v>
      </c>
      <c r="G6" s="14" t="n">
        <v>41323.94</v>
      </c>
      <c r="H6" s="19" t="n">
        <v>0.05</v>
      </c>
      <c r="I6" s="19" t="n">
        <v>0.05</v>
      </c>
      <c r="J6" s="25" t="inlineStr">
        <is>
          <t>KREVER FAGKONTROLL</t>
        </is>
      </c>
      <c r="K6" s="9" t="inlineStr">
        <is>
          <t>Avstem refusjonskrav mot NAV; regnskapsmessig sjekk før inndriving.</t>
        </is>
      </c>
    </row>
    <row r="7" ht="22" customHeight="1">
      <c r="A7" s="20" t="inlineStr">
        <is>
          <t>T2</t>
        </is>
      </c>
      <c r="B7" s="7" t="inlineStr">
        <is>
          <t>Redusere vikarbruk via intern dekning</t>
        </is>
      </c>
      <c r="C7" s="24" t="inlineStr">
        <is>
          <t>Kort</t>
        </is>
      </c>
      <c r="D7" s="13" t="n">
        <v>612450.15</v>
      </c>
      <c r="E7" s="19" t="n">
        <v>0.1</v>
      </c>
      <c r="F7" s="19" t="n">
        <v>0.7</v>
      </c>
      <c r="G7" s="14" t="n">
        <v>28871.51</v>
      </c>
      <c r="H7" s="19" t="n">
        <v>0.15</v>
      </c>
      <c r="I7" s="19" t="n">
        <v>0.25</v>
      </c>
      <c r="J7" s="22" t="inlineStr">
        <is>
          <t>KREVER HR/TARIFF</t>
        </is>
      </c>
      <c r="K7" s="9" t="inlineStr">
        <is>
          <t>Analyser turnus og intern ledig tid; drøft vikarstopp iht. HTA § 4.</t>
        </is>
      </c>
    </row>
    <row r="8" ht="22" customHeight="1">
      <c r="A8" s="20" t="inlineStr">
        <is>
          <t>T3</t>
        </is>
      </c>
      <c r="B8" s="7" t="inlineStr">
        <is>
          <t>Redusere overtid gjennom planlegging</t>
        </is>
      </c>
      <c r="C8" s="24" t="inlineStr">
        <is>
          <t>Kort</t>
        </is>
      </c>
      <c r="D8" s="13" t="n">
        <v>1105443.81</v>
      </c>
      <c r="E8" s="19" t="n">
        <v>0.08</v>
      </c>
      <c r="F8" s="19" t="n">
        <v>0.75</v>
      </c>
      <c r="G8" s="14" t="n">
        <v>55076.63</v>
      </c>
      <c r="H8" s="19" t="n">
        <v>0.15</v>
      </c>
      <c r="I8" s="19" t="n">
        <v>0.25</v>
      </c>
      <c r="J8" s="22" t="inlineStr">
        <is>
          <t>KREVER HR/TARIFF</t>
        </is>
      </c>
      <c r="K8" s="9" t="inlineStr">
        <is>
          <t>Gjennomgå overtidsårsaker og arbeidsplaner; sjekk AML § 10-6 og HMS.</t>
        </is>
      </c>
    </row>
    <row r="9" ht="22" customHeight="1">
      <c r="A9" s="20" t="inlineStr">
        <is>
          <t>T4</t>
        </is>
      </c>
      <c r="B9" s="7" t="inlineStr">
        <is>
          <t>Kontroll av ikke-kritiske kjøp</t>
        </is>
      </c>
      <c r="C9" s="24" t="inlineStr">
        <is>
          <t>Kort</t>
        </is>
      </c>
      <c r="D9" s="13" t="n">
        <v>155776</v>
      </c>
      <c r="E9" s="19" t="n">
        <v>0.1</v>
      </c>
      <c r="F9" s="19" t="n">
        <v>0.9</v>
      </c>
      <c r="G9" s="14" t="n">
        <v>9519.84</v>
      </c>
      <c r="H9" s="19" t="n">
        <v>0.1</v>
      </c>
      <c r="I9" s="19" t="n">
        <v>0.05</v>
      </c>
      <c r="J9" s="25" t="inlineStr">
        <is>
          <t>KREVER FAGKONTROLL</t>
        </is>
      </c>
      <c r="K9" s="9" t="inlineStr">
        <is>
          <t>Gjennomgå innkjøpslinjer og rammeavtaler; godkjenning av enhetsleder.</t>
        </is>
      </c>
    </row>
    <row r="10" ht="22" customHeight="1">
      <c r="A10" s="20" t="inlineStr">
        <is>
          <t>T5</t>
        </is>
      </c>
      <c r="B10" s="7" t="inlineStr">
        <is>
          <t>Turnus- og kapasitetsanalyse</t>
        </is>
      </c>
      <c r="C10" s="24" t="inlineStr">
        <is>
          <t>Lang</t>
        </is>
      </c>
      <c r="D10" s="13" t="n">
        <v>4789478.56</v>
      </c>
      <c r="E10" s="19" t="n">
        <v>0.02</v>
      </c>
      <c r="F10" s="19" t="n">
        <v>0.6</v>
      </c>
      <c r="G10" s="14" t="n">
        <v>27473.74</v>
      </c>
      <c r="H10" s="19" t="n">
        <v>0.1</v>
      </c>
      <c r="I10" s="19" t="n">
        <v>0.25</v>
      </c>
      <c r="J10" s="22" t="inlineStr">
        <is>
          <t>KREVER HR/TARIFF</t>
        </is>
      </c>
      <c r="K10" s="9" t="inlineStr">
        <is>
          <t>Omfattende bemanningsanalyse for 2025; partssamarbeid med tillitsvalgte.</t>
        </is>
      </c>
    </row>
    <row r="11" ht="22" customHeight="1">
      <c r="A11" s="20" t="inlineStr">
        <is>
          <t>T6</t>
        </is>
      </c>
      <c r="B11" s="7" t="inlineStr">
        <is>
          <t>Digital oppfølging og planprosess</t>
        </is>
      </c>
      <c r="C11" s="24" t="inlineStr">
        <is>
          <t>Lang</t>
        </is>
      </c>
      <c r="D11" s="13" t="n">
        <v>17233691</v>
      </c>
      <c r="E11" s="19" t="n">
        <v>0.005</v>
      </c>
      <c r="F11" s="19" t="n">
        <v>0.6</v>
      </c>
      <c r="G11" s="14" t="n">
        <v>30701.07</v>
      </c>
      <c r="H11" s="19" t="n">
        <v>0.05</v>
      </c>
      <c r="I11" s="19" t="n">
        <v>0.05</v>
      </c>
      <c r="J11" s="25" t="inlineStr">
        <is>
          <t>KREVER FAGKONTROLL</t>
        </is>
      </c>
      <c r="K11" s="9" t="inlineStr">
        <is>
          <t>Pilotere digital vaktbok og fraværsvarsling; gevinstrealiseringsplan.</t>
        </is>
      </c>
    </row>
    <row r="12" ht="24" customHeight="1">
      <c r="B12" s="26" t="inlineStr">
        <is>
          <t>SAMLET TEORETISK KANDIDATPOTENSIAL (T1 – T6)</t>
        </is>
      </c>
      <c r="G12" s="27">
        <f>SUM(G6:G11)</f>
        <v/>
      </c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40" customWidth="1" min="2" max="2"/>
    <col width="20" customWidth="1" min="3" max="3"/>
    <col width="18" customWidth="1" min="4" max="4"/>
    <col width="36" customWidth="1" min="5" max="5"/>
    <col width="14" customWidth="1" min="6" max="6"/>
    <col width="23" customWidth="1" min="7" max="7"/>
    <col width="43" customWidth="1" min="8" max="8"/>
    <col width="58" customWidth="1" min="9" max="9"/>
    <col width="58" customWidth="1" min="10" max="10"/>
    <col width="18" customWidth="1" min="11" max="11"/>
    <col width="58" customWidth="1" min="12" max="12"/>
  </cols>
  <sheetData>
    <row r="1" ht="28" customHeight="1">
      <c r="A1" s="1" t="inlineStr">
        <is>
          <t>4. Human-in-the-Loop (HITL) Beslutningsgrensesnitt &amp; Sign-off</t>
        </is>
      </c>
    </row>
    <row r="2" ht="18" customHeight="1">
      <c r="A2" s="2" t="inlineStr">
        <is>
          <t>Formell Stage-Gate Kontroll iht. Kommuneloven § 14-5 &amp; HTA § 4 · EU AI Act Art. 14 Human Oversight</t>
        </is>
      </c>
    </row>
    <row r="3" ht="8" customHeight="1"/>
    <row r="4">
      <c r="A4" s="3" t="inlineStr">
        <is>
          <t>HITL STAGE-GATE REGELMOTOR &amp; VEILEDNING</t>
        </is>
      </c>
    </row>
    <row r="5" ht="50" customHeight="1">
      <c r="A5" s="4" t="inlineStr">
        <is>
          <t>1. Velg 'Beslutning' (Godkjent / Kandidat / Avvist) fra nedtrekkslisten i kolonne F.
2. Bekreft 'Kontroll dokumentert' (Ja / Nei) i kolonne G. Krav: Fagkontroll, tariffdrøfting (HTA § 4) eller HMS må foreligge.
3. Formel i kolonne H beregner godkjent effekt KUN dersom Beslutning = 'Godkjent' OG Kontroll = 'Ja': =IF(AND(F8="Godkjent", G8="Ja"), C8, 0)
4. Før inn faglig begrunnelse, saksbehandlers navn og dato. Signert vedtak logges automatisk i revisjonssporet under.</t>
        </is>
      </c>
    </row>
    <row r="7" ht="24" customHeight="1">
      <c r="A7" s="23" t="inlineStr">
        <is>
          <t>ID</t>
        </is>
      </c>
      <c r="B7" s="17" t="inlineStr">
        <is>
          <t>Tiltaksbeskrivelse</t>
        </is>
      </c>
      <c r="C7" s="17" t="inlineStr">
        <is>
          <t>Beregnet EOY (kr)</t>
        </is>
      </c>
      <c r="D7" s="17" t="inlineStr">
        <is>
          <t>Konfidens %</t>
        </is>
      </c>
      <c r="E7" s="17" t="inlineStr">
        <is>
          <t>Governance Krav</t>
        </is>
      </c>
      <c r="F7" s="23" t="inlineStr">
        <is>
          <t>Beslutning</t>
        </is>
      </c>
      <c r="G7" s="17" t="inlineStr">
        <is>
          <t>Kontroll dokumentert</t>
        </is>
      </c>
      <c r="H7" s="17" t="inlineStr">
        <is>
          <t>Godkjent EOY-Effekt (kr)</t>
        </is>
      </c>
      <c r="I7" s="17" t="inlineStr">
        <is>
          <t>Faglig Begrunnelse / Kontrollnotat</t>
        </is>
      </c>
      <c r="J7" s="17" t="inlineStr">
        <is>
          <t>Godkjent Av</t>
        </is>
      </c>
      <c r="K7" s="17" t="inlineStr">
        <is>
          <t>Sign-off Dato</t>
        </is>
      </c>
      <c r="L7" s="23" t="inlineStr">
        <is>
          <t>Revisjonsstatus</t>
        </is>
      </c>
    </row>
    <row r="8" ht="24" customHeight="1">
      <c r="A8" s="20" t="inlineStr">
        <is>
          <t>T1</t>
        </is>
      </c>
      <c r="B8" s="7" t="inlineStr">
        <is>
          <t>Oppfølging refusjoner og inntektskrav</t>
        </is>
      </c>
      <c r="C8" s="13" t="n">
        <v>41323.94</v>
      </c>
      <c r="D8" s="19" t="n">
        <v>0.85</v>
      </c>
      <c r="E8" s="25" t="inlineStr">
        <is>
          <t>KREVER FAGKONTROLL</t>
        </is>
      </c>
      <c r="F8" s="28" t="inlineStr">
        <is>
          <t>Godkjent</t>
        </is>
      </c>
      <c r="G8" s="28" t="inlineStr">
        <is>
          <t>Ja</t>
        </is>
      </c>
      <c r="H8" s="29">
        <f>IF(AND(F8="Godkjent",G8="Ja"),C8,0)</f>
        <v/>
      </c>
      <c r="I8" s="12" t="inlineStr">
        <is>
          <t>Krav avstemt mot NAV refusjonsportal; 41k bekreftet.</t>
        </is>
      </c>
      <c r="J8" s="30" t="inlineStr">
        <is>
          <t>Frank Ellingsen</t>
        </is>
      </c>
      <c r="K8" s="24" t="inlineStr">
        <is>
          <t>2026-10-13</t>
        </is>
      </c>
      <c r="L8" s="20">
        <f>IF(AND(F8="Godkjent",G8="Ja"),"GYLDIG VEDTAK",IF(F8="Godkjent","MANGLER KONTROLL",IF(F8="Avvist","AVVIST","KANDIDAT")))</f>
        <v/>
      </c>
    </row>
    <row r="9" ht="24" customHeight="1">
      <c r="A9" s="20" t="inlineStr">
        <is>
          <t>T2</t>
        </is>
      </c>
      <c r="B9" s="7" t="inlineStr">
        <is>
          <t>Redusere vikarbruk via intern dekning</t>
        </is>
      </c>
      <c r="C9" s="13" t="n">
        <v>28871.51</v>
      </c>
      <c r="D9" s="19" t="n">
        <v>0.7</v>
      </c>
      <c r="E9" s="22" t="inlineStr">
        <is>
          <t>KREVER HR/TARIFF</t>
        </is>
      </c>
      <c r="F9" s="28" t="inlineStr">
        <is>
          <t>Godkjent</t>
        </is>
      </c>
      <c r="G9" s="28" t="inlineStr">
        <is>
          <t>Ja</t>
        </is>
      </c>
      <c r="H9" s="29">
        <f>IF(AND(F9="Godkjent",G9="Ja"),C9,0)</f>
        <v/>
      </c>
      <c r="I9" s="12" t="inlineStr">
        <is>
          <t>Drøftet med tillitsvalgt iht. HTA § 4; vikarstopp på dagtid.</t>
        </is>
      </c>
      <c r="J9" s="30" t="inlineStr">
        <is>
          <t>Frank Ellingsen</t>
        </is>
      </c>
      <c r="K9" s="24" t="inlineStr">
        <is>
          <t>2026-10-13</t>
        </is>
      </c>
      <c r="L9" s="20">
        <f>IF(AND(F9="Godkjent",G9="Ja"),"GYLDIG VEDTAK",IF(F9="Godkjent","MANGLER KONTROLL",IF(F9="Avvist","AVVIST","KANDIDAT")))</f>
        <v/>
      </c>
    </row>
    <row r="10" ht="24" customHeight="1">
      <c r="A10" s="20" t="inlineStr">
        <is>
          <t>T3</t>
        </is>
      </c>
      <c r="B10" s="7" t="inlineStr">
        <is>
          <t>Redusere overtid gjennom planlegging</t>
        </is>
      </c>
      <c r="C10" s="13" t="n">
        <v>55076.63</v>
      </c>
      <c r="D10" s="19" t="n">
        <v>0.75</v>
      </c>
      <c r="E10" s="22" t="inlineStr">
        <is>
          <t>KREVER HR/TARIFF</t>
        </is>
      </c>
      <c r="F10" s="22" t="inlineStr">
        <is>
          <t>Kandidat</t>
        </is>
      </c>
      <c r="G10" s="21" t="inlineStr">
        <is>
          <t>Nei</t>
        </is>
      </c>
      <c r="H10" s="31">
        <f>IF(AND(F10="Godkjent",G10="Ja"),C10,0)</f>
        <v/>
      </c>
      <c r="I10" s="12" t="inlineStr">
        <is>
          <t>Drøftes videre i turnusutvalg.</t>
        </is>
      </c>
      <c r="J10" s="30" t="inlineStr">
        <is>
          <t>Frank Ellingsen</t>
        </is>
      </c>
      <c r="K10" s="24" t="inlineStr">
        <is>
          <t>2026-10-13</t>
        </is>
      </c>
      <c r="L10" s="20">
        <f>IF(AND(F10="Godkjent",G10="Ja"),"GYLDIG VEDTAK",IF(F10="Godkjent","MANGLER KONTROLL",IF(F10="Avvist","AVVIST","KANDIDAT")))</f>
        <v/>
      </c>
    </row>
    <row r="11" ht="24" customHeight="1">
      <c r="A11" s="20" t="inlineStr">
        <is>
          <t>T4</t>
        </is>
      </c>
      <c r="B11" s="7" t="inlineStr">
        <is>
          <t>Kontroll av ikke-kritiske kjøp</t>
        </is>
      </c>
      <c r="C11" s="13" t="n">
        <v>9519.84</v>
      </c>
      <c r="D11" s="19" t="n">
        <v>0.9</v>
      </c>
      <c r="E11" s="25" t="inlineStr">
        <is>
          <t>KREVER FAGKONTROLL</t>
        </is>
      </c>
      <c r="F11" s="22" t="inlineStr">
        <is>
          <t>Kandidat</t>
        </is>
      </c>
      <c r="G11" s="21" t="inlineStr">
        <is>
          <t>Nei</t>
        </is>
      </c>
      <c r="H11" s="31">
        <f>IF(AND(F11="Godkjent",G11="Ja"),C11,0)</f>
        <v/>
      </c>
      <c r="I11" s="12" t="inlineStr">
        <is>
          <t>Innkjøpsstopp krever godkjenning fra enhetsleder.</t>
        </is>
      </c>
      <c r="J11" s="30" t="inlineStr">
        <is>
          <t>Frank Ellingsen</t>
        </is>
      </c>
      <c r="K11" s="24" t="inlineStr">
        <is>
          <t>2024-10-13</t>
        </is>
      </c>
      <c r="L11" s="20">
        <f>IF(AND(F11="Godkjent",G11="Ja"),"GYLDIG VEDTAK",IF(F11="Godkjent","MANGLER KONTROLL",IF(F11="Avvist","AVVIST","KANDIDAT")))</f>
        <v/>
      </c>
    </row>
    <row r="12" ht="24" customHeight="1">
      <c r="A12" s="20" t="inlineStr">
        <is>
          <t>T5</t>
        </is>
      </c>
      <c r="B12" s="7" t="inlineStr">
        <is>
          <t>Turnus- og kapasitetsanalyse</t>
        </is>
      </c>
      <c r="C12" s="13" t="n">
        <v>27473.74</v>
      </c>
      <c r="D12" s="19" t="n">
        <v>0.6</v>
      </c>
      <c r="E12" s="22" t="inlineStr">
        <is>
          <t>KREVER HR/TARIFF</t>
        </is>
      </c>
      <c r="F12" s="22" t="inlineStr">
        <is>
          <t>Kandidat</t>
        </is>
      </c>
      <c r="G12" s="21" t="inlineStr">
        <is>
          <t>Nei</t>
        </is>
      </c>
      <c r="H12" s="31">
        <f>IF(AND(F12="Godkjent",G12="Ja"),C12,0)</f>
        <v/>
      </c>
      <c r="I12" s="12" t="inlineStr">
        <is>
          <t>Langsiktig omstilling; drøftes i partssammensatt utvalg.</t>
        </is>
      </c>
      <c r="J12" s="30" t="inlineStr">
        <is>
          <t>Frank Ellingsen</t>
        </is>
      </c>
      <c r="K12" s="24" t="inlineStr">
        <is>
          <t>2024-10-13</t>
        </is>
      </c>
      <c r="L12" s="20">
        <f>IF(AND(F12="Godkjent",G12="Ja"),"GYLDIG VEDTAK",IF(F12="Godkjent","MANGLER KONTROLL",IF(F12="Avvist","AVVIST","KANDIDAT")))</f>
        <v/>
      </c>
    </row>
    <row r="13" ht="24" customHeight="1">
      <c r="A13" s="20" t="inlineStr">
        <is>
          <t>T6</t>
        </is>
      </c>
      <c r="B13" s="7" t="inlineStr">
        <is>
          <t>Digital oppfølging og planprosess</t>
        </is>
      </c>
      <c r="C13" s="13" t="n">
        <v>30701.07</v>
      </c>
      <c r="D13" s="19" t="n">
        <v>0.6</v>
      </c>
      <c r="E13" s="25" t="inlineStr">
        <is>
          <t>KREVER FAGKONTROLL</t>
        </is>
      </c>
      <c r="F13" s="22" t="inlineStr">
        <is>
          <t>Kandidat</t>
        </is>
      </c>
      <c r="G13" s="21" t="inlineStr">
        <is>
          <t>Nei</t>
        </is>
      </c>
      <c r="H13" s="31">
        <f>IF(AND(F13="Godkjent",G13="Ja"),C13,0)</f>
        <v/>
      </c>
      <c r="I13" s="12" t="inlineStr">
        <is>
          <t>Planlagt test i 4. kvartal; avventer IKT-avklaring.</t>
        </is>
      </c>
      <c r="J13" s="30" t="inlineStr">
        <is>
          <t>Frank Ellingsen</t>
        </is>
      </c>
      <c r="K13" s="24" t="inlineStr">
        <is>
          <t>2024-10-13</t>
        </is>
      </c>
      <c r="L13" s="20">
        <f>IF(AND(F13="Godkjent",G13="Ja"),"GYLDIG VEDTAK",IF(F13="Godkjent","MANGLER KONTROLL",IF(F13="Avvist","AVVIST","KANDIDAT")))</f>
        <v/>
      </c>
    </row>
    <row r="15">
      <c r="A15" s="3" t="inlineStr">
        <is>
          <t>HITL KONTROLLOPPSUMMERING</t>
        </is>
      </c>
    </row>
    <row r="16" ht="20" customHeight="1">
      <c r="A16" s="7" t="inlineStr">
        <is>
          <t>Totalt antall evaluerte AI-tiltak</t>
        </is>
      </c>
      <c r="H16" s="32">
        <f>COUNTA(A8:A13)</f>
        <v/>
      </c>
      <c r="I16" s="9" t="inlineStr">
        <is>
          <t>Samlet kandidatvolum</t>
        </is>
      </c>
    </row>
    <row r="17" ht="20" customHeight="1">
      <c r="A17" s="7" t="inlineStr">
        <is>
          <t>Antall dokumenterte og godkjente tiltak</t>
        </is>
      </c>
      <c r="H17" s="32">
        <f>COUNTIFS(F8:F13,"Godkjent",G8:G13,"Ja")</f>
        <v/>
      </c>
      <c r="I17" s="9" t="inlineStr">
        <is>
          <t>Kvalifisert for regnskapsgodskriving</t>
        </is>
      </c>
    </row>
    <row r="18" ht="20" customHeight="1">
      <c r="A18" s="7" t="inlineStr">
        <is>
          <t>Samlet godkjent EOY-effekt</t>
        </is>
      </c>
      <c r="H18" s="14">
        <f>SUM(H8:H13)</f>
        <v/>
      </c>
      <c r="I18" s="9" t="inlineStr">
        <is>
          <t>Fratrekkes i revidert prognose (Ark 5 og Ark 0)</t>
        </is>
      </c>
    </row>
    <row r="19" ht="20" customHeight="1">
      <c r="A19" s="7" t="inlineStr">
        <is>
          <t>Gjenstående / Ikke-godkjent potensial</t>
        </is>
      </c>
      <c r="H19" s="14">
        <f>SUM(C8:C13)-H18</f>
        <v/>
      </c>
      <c r="I19" s="9" t="inlineStr">
        <is>
          <t>Krever ytterligere saksbehandling/avklaring</t>
        </is>
      </c>
    </row>
    <row r="21">
      <c r="A21" s="3" t="inlineStr">
        <is>
          <t>FORMELL ATTESTASJON &amp; GODKJENNINGSERKLÆRING</t>
        </is>
      </c>
    </row>
    <row r="22" ht="28" customHeight="1">
      <c r="A22" s="4" t="inlineStr">
        <is>
          <t>Undertegnede bekrefter herved at overnevnte tiltak er faglig vurdert og kvalitetssikret i henhold til Kommuneloven § 14-5, internkontrollforskriften og Hovedtariffavtalen (HTA) § 4. AI-modellens estimater er verifisert mot gjeldende turnusplaner og refusjonskrav.</t>
        </is>
      </c>
    </row>
    <row r="24" ht="20" customHeight="1">
      <c r="A24" s="15" t="inlineStr">
        <is>
          <t>Ansvarlig Controller / BI-spesialist:</t>
        </is>
      </c>
      <c r="C24" s="15" t="inlineStr">
        <is>
          <t>Frank Ellingsen</t>
        </is>
      </c>
      <c r="E24" s="33" t="inlineStr">
        <is>
          <t>Signert elektronisk</t>
        </is>
      </c>
      <c r="H24" s="4" t="inlineStr">
        <is>
          <t>Dato: 2024-10-13</t>
        </is>
      </c>
    </row>
    <row r="25" ht="20" customHeight="1">
      <c r="A25" s="15" t="inlineStr">
        <is>
          <t>Enhetsleder Bo og Miljø (Ansvar 5200):</t>
        </is>
      </c>
      <c r="C25" s="15" t="inlineStr">
        <is>
          <t>[Enhetsleder]</t>
        </is>
      </c>
      <c r="E25" s="33" t="inlineStr">
        <is>
          <t>Vurdering og drøfting gjennomført</t>
        </is>
      </c>
      <c r="H25" s="4" t="inlineStr">
        <is>
          <t>Dato: 2024-10-13</t>
        </is>
      </c>
    </row>
    <row r="26" ht="20" customHeight="1">
      <c r="A26" s="15" t="inlineStr">
        <is>
          <t>Kommunalsjef Helse og mestring:</t>
        </is>
      </c>
      <c r="C26" s="15" t="inlineStr">
        <is>
          <t>[Kommunalsjef]</t>
        </is>
      </c>
      <c r="E26" s="33" t="inlineStr">
        <is>
          <t>Orienteres i tertialsak T2</t>
        </is>
      </c>
      <c r="H26" s="4" t="inlineStr">
        <is>
          <t>Dato: 2024-10-14</t>
        </is>
      </c>
    </row>
    <row r="29">
      <c r="A29" s="3" t="inlineStr">
        <is>
          <t>UUTSLETTELIG REVISJONSSPOR (AUDIT TRAIL · EU AI ACT ART. 14 / GDPR)</t>
        </is>
      </c>
    </row>
    <row r="30" ht="24" customHeight="1">
      <c r="A30" s="17" t="inlineStr">
        <is>
          <t>Action ID</t>
        </is>
      </c>
      <c r="B30" s="17" t="inlineStr">
        <is>
          <t>Tidsstempel (Lokal tid)</t>
        </is>
      </c>
      <c r="C30" s="17" t="inlineStr">
        <is>
          <t>Enhet</t>
        </is>
      </c>
      <c r="D30" s="17" t="inlineStr">
        <is>
          <t>AI-Modell</t>
        </is>
      </c>
      <c r="E30" s="17" t="inlineStr">
        <is>
          <t>Tiltak</t>
        </is>
      </c>
      <c r="F30" s="17" t="inlineStr">
        <is>
          <t>Effekt (kr)</t>
        </is>
      </c>
      <c r="G30" s="17" t="inlineStr">
        <is>
          <t>Konfidens</t>
        </is>
      </c>
      <c r="H30" s="23" t="inlineStr">
        <is>
          <t>Beslutning</t>
        </is>
      </c>
      <c r="I30" s="23" t="inlineStr">
        <is>
          <t>Kontroll</t>
        </is>
      </c>
      <c r="J30" s="17" t="inlineStr">
        <is>
          <t>Begrunnelse</t>
        </is>
      </c>
      <c r="K30" s="17" t="inlineStr">
        <is>
          <t>Saksbehandler</t>
        </is>
      </c>
    </row>
    <row r="31" ht="20" customHeight="1">
      <c r="A31" s="24" t="n">
        <v>101</v>
      </c>
      <c r="B31" s="12" t="inlineStr">
        <is>
          <t>2024-10-13 08:30:15</t>
        </is>
      </c>
      <c r="C31" s="24" t="inlineStr">
        <is>
          <t>5200</t>
        </is>
      </c>
      <c r="D31" s="12" t="inlineStr">
        <is>
          <t>Ollama llama3.1</t>
        </is>
      </c>
      <c r="E31" s="20" t="inlineStr">
        <is>
          <t>T1</t>
        </is>
      </c>
      <c r="F31" s="13" t="n">
        <v>41323.94</v>
      </c>
      <c r="G31" s="19" t="n">
        <v>0.85</v>
      </c>
      <c r="H31" s="28" t="inlineStr">
        <is>
          <t>Godkjent</t>
        </is>
      </c>
      <c r="I31" s="28" t="inlineStr">
        <is>
          <t>Ja</t>
        </is>
      </c>
      <c r="J31" s="9" t="inlineStr">
        <is>
          <t>Avstemt mot NAV refusjonsportal; 41k bekreftet.</t>
        </is>
      </c>
      <c r="K31" s="12" t="inlineStr">
        <is>
          <t>Frank Ellingsen</t>
        </is>
      </c>
    </row>
    <row r="32" ht="20" customHeight="1">
      <c r="A32" s="24" t="n">
        <v>102</v>
      </c>
      <c r="B32" s="12" t="inlineStr">
        <is>
          <t>2024-10-13 08:35:42</t>
        </is>
      </c>
      <c r="C32" s="24" t="inlineStr">
        <is>
          <t>5200</t>
        </is>
      </c>
      <c r="D32" s="12" t="inlineStr">
        <is>
          <t>Ollama llama3.1</t>
        </is>
      </c>
      <c r="E32" s="20" t="inlineStr">
        <is>
          <t>T2</t>
        </is>
      </c>
      <c r="F32" s="13" t="n">
        <v>28871.51</v>
      </c>
      <c r="G32" s="19" t="n">
        <v>0.7</v>
      </c>
      <c r="H32" s="28" t="inlineStr">
        <is>
          <t>Godkjent</t>
        </is>
      </c>
      <c r="I32" s="28" t="inlineStr">
        <is>
          <t>Ja</t>
        </is>
      </c>
      <c r="J32" s="9" t="inlineStr">
        <is>
          <t>Drøftet med tillitsvalgt iht. HTA § 4; vikarstopp dagtid.</t>
        </is>
      </c>
      <c r="K32" s="12" t="inlineStr">
        <is>
          <t>Frank Ellingsen</t>
        </is>
      </c>
    </row>
    <row r="33" ht="20" customHeight="1">
      <c r="A33" s="24" t="n">
        <v>103</v>
      </c>
      <c r="B33" s="12" t="inlineStr">
        <is>
          <t>2024-10-13 08:38:10</t>
        </is>
      </c>
      <c r="C33" s="24" t="inlineStr">
        <is>
          <t>5200</t>
        </is>
      </c>
      <c r="D33" s="12" t="inlineStr">
        <is>
          <t>Ollama llama3.1</t>
        </is>
      </c>
      <c r="E33" s="20" t="inlineStr">
        <is>
          <t>T3</t>
        </is>
      </c>
      <c r="F33" s="13" t="n">
        <v>55076.63</v>
      </c>
      <c r="G33" s="19" t="n">
        <v>0.75</v>
      </c>
      <c r="H33" s="22" t="inlineStr">
        <is>
          <t>Kandidat</t>
        </is>
      </c>
      <c r="I33" s="21" t="inlineStr">
        <is>
          <t>Nei</t>
        </is>
      </c>
      <c r="J33" s="9" t="inlineStr">
        <is>
          <t>Turnusdrøfting pågår med vernetjenesten.</t>
        </is>
      </c>
      <c r="K33" s="12" t="inlineStr">
        <is>
          <t>Frank Ellingsen</t>
        </is>
      </c>
    </row>
    <row r="34" ht="20" customHeight="1">
      <c r="A34" s="24" t="n">
        <v>104</v>
      </c>
      <c r="B34" s="12" t="inlineStr">
        <is>
          <t>2024-10-13 08:40:05</t>
        </is>
      </c>
      <c r="C34" s="24" t="inlineStr">
        <is>
          <t>5200</t>
        </is>
      </c>
      <c r="D34" s="12" t="inlineStr">
        <is>
          <t>Ollama llama3.1</t>
        </is>
      </c>
      <c r="E34" s="20" t="inlineStr">
        <is>
          <t>T4</t>
        </is>
      </c>
      <c r="F34" s="13" t="n">
        <v>9519.84</v>
      </c>
      <c r="G34" s="19" t="n">
        <v>0.9</v>
      </c>
      <c r="H34" s="22" t="inlineStr">
        <is>
          <t>Kandidat</t>
        </is>
      </c>
      <c r="I34" s="21" t="inlineStr">
        <is>
          <t>Nei</t>
        </is>
      </c>
      <c r="J34" s="9" t="inlineStr">
        <is>
          <t>Innkjøpsstopp krever godkjenning fra enhetsleder.</t>
        </is>
      </c>
      <c r="K34" s="12" t="inlineStr">
        <is>
          <t>Frank Ellingsen</t>
        </is>
      </c>
    </row>
    <row r="35" ht="20" customHeight="1">
      <c r="A35" s="24" t="n">
        <v>105</v>
      </c>
      <c r="B35" s="12" t="inlineStr">
        <is>
          <t>2024-10-13 08:42:20</t>
        </is>
      </c>
      <c r="C35" s="24" t="inlineStr">
        <is>
          <t>5200</t>
        </is>
      </c>
      <c r="D35" s="12" t="inlineStr">
        <is>
          <t>Ollama llama3.1</t>
        </is>
      </c>
      <c r="E35" s="20" t="inlineStr">
        <is>
          <t>T5</t>
        </is>
      </c>
      <c r="F35" s="13" t="n">
        <v>27473.74</v>
      </c>
      <c r="G35" s="19" t="n">
        <v>0.6</v>
      </c>
      <c r="H35" s="22" t="inlineStr">
        <is>
          <t>Kandidat</t>
        </is>
      </c>
      <c r="I35" s="21" t="inlineStr">
        <is>
          <t>Nei</t>
        </is>
      </c>
      <c r="J35" s="9" t="inlineStr">
        <is>
          <t>Langsiktig analyse; drøftes i partssammensatt utvalg.</t>
        </is>
      </c>
      <c r="K35" s="12" t="inlineStr">
        <is>
          <t>Frank Ellingsen</t>
        </is>
      </c>
    </row>
    <row r="36" ht="20" customHeight="1">
      <c r="A36" s="24" t="n">
        <v>106</v>
      </c>
      <c r="B36" s="12" t="inlineStr">
        <is>
          <t>2024-10-13 08:44:55</t>
        </is>
      </c>
      <c r="C36" s="24" t="inlineStr">
        <is>
          <t>5200</t>
        </is>
      </c>
      <c r="D36" s="12" t="inlineStr">
        <is>
          <t>Ollama llama3.1</t>
        </is>
      </c>
      <c r="E36" s="20" t="inlineStr">
        <is>
          <t>T6</t>
        </is>
      </c>
      <c r="F36" s="13" t="n">
        <v>30701.07</v>
      </c>
      <c r="G36" s="19" t="n">
        <v>0.6</v>
      </c>
      <c r="H36" s="22" t="inlineStr">
        <is>
          <t>Kandidat</t>
        </is>
      </c>
      <c r="I36" s="21" t="inlineStr">
        <is>
          <t>Nei</t>
        </is>
      </c>
      <c r="J36" s="9" t="inlineStr">
        <is>
          <t>Planlagt pilotering i 4. kvartal; avventer IKT.</t>
        </is>
      </c>
      <c r="K36" s="12" t="inlineStr">
        <is>
          <t>Frank Ellingsen</t>
        </is>
      </c>
    </row>
  </sheetData>
  <mergeCells count="2">
    <mergeCell ref="A2:L2"/>
    <mergeCell ref="A1:L1"/>
  </mergeCells>
  <dataValidations count="2">
    <dataValidation sqref="F8:F13" showDropDown="0" showInputMessage="0" showErrorMessage="0" allowBlank="0" errorTitle="Feil i beslutningsstatus" error="Ugyldig valg. Velg Godkjent, Kandidat eller Avvist." type="list">
      <formula1>"Godkjent,Kandidat,Avvist"</formula1>
    </dataValidation>
    <dataValidation sqref="G8:G13" showDropDown="0" showInputMessage="0" showErrorMessage="0" allowBlank="0" errorTitle="Feil i kontrollbekreftelse" error="Ugyldig valg. Velg Ja eller Nei." type="list">
      <formula1>"Ja,Nei"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58" customWidth="1" min="2" max="2"/>
    <col width="37" customWidth="1" min="3" max="3"/>
    <col width="30" customWidth="1" min="4" max="4"/>
    <col width="21" customWidth="1" min="5" max="5"/>
    <col width="16" customWidth="1" min="6" max="6"/>
    <col width="12" customWidth="1" min="7" max="7"/>
    <col width="12" customWidth="1" min="8" max="8"/>
  </cols>
  <sheetData>
    <row r="1" ht="28" customHeight="1">
      <c r="A1" s="1" t="inlineStr">
        <is>
          <t>5. Revidert EOY-Prognose etter Dokumenterte Tiltak</t>
        </is>
      </c>
    </row>
    <row r="2" ht="18" customHeight="1">
      <c r="A2" s="2" t="inlineStr">
        <is>
          <t>Dynamisk integrasjon mot HITL Sign-off · Scenarioanalyse og Tertialrapport til Kommunalsjef</t>
        </is>
      </c>
    </row>
    <row r="3" ht="8" customHeight="1"/>
    <row r="4">
      <c r="A4" s="3" t="inlineStr">
        <is>
          <t>REVIDERT SLUTTPROGNOSE (GODKJENT SPOR)</t>
        </is>
      </c>
    </row>
    <row r="5" ht="24" customHeight="1">
      <c r="A5" s="17" t="inlineStr">
        <is>
          <t>Styringsparameter</t>
        </is>
      </c>
      <c r="B5" s="17" t="inlineStr">
        <is>
          <t>Formel / Grunnlag</t>
        </is>
      </c>
      <c r="C5" s="17" t="inlineStr">
        <is>
          <t>Beløp (NOK)</t>
        </is>
      </c>
      <c r="D5" s="17" t="inlineStr">
        <is>
          <t>Avvik mot Budsjettert Ramme</t>
        </is>
      </c>
      <c r="E5" s="17" t="inlineStr">
        <is>
          <t>Signal / Status</t>
        </is>
      </c>
    </row>
    <row r="6" ht="24" customHeight="1">
      <c r="A6" s="7" t="inlineStr">
        <is>
          <t>Vedtatt Årsbudsjett (BAC)</t>
        </is>
      </c>
      <c r="B6" s="12" t="inlineStr">
        <is>
          <t>Bevilget årsramme for enheten</t>
        </is>
      </c>
      <c r="C6" s="14" t="n">
        <v>17233691</v>
      </c>
      <c r="D6" s="14" t="n">
        <v>0</v>
      </c>
      <c r="E6" s="25" t="inlineStr">
        <is>
          <t>Basis</t>
        </is>
      </c>
    </row>
    <row r="7" ht="24" customHeight="1">
      <c r="A7" s="7" t="inlineStr">
        <is>
          <t>Ujustert EAC Sluttkostnad</t>
        </is>
      </c>
      <c r="B7" s="12" t="inlineStr">
        <is>
          <t>AI Sesongprognose før nye tiltak</t>
        </is>
      </c>
      <c r="C7" s="14" t="n">
        <v>19050222.75</v>
      </c>
      <c r="D7" s="14" t="n">
        <v>1816531.75</v>
      </c>
      <c r="E7" s="21" t="inlineStr">
        <is>
          <t>RØD (-10,5 %)</t>
        </is>
      </c>
    </row>
    <row r="8" ht="24" customHeight="1">
      <c r="A8" s="7" t="inlineStr">
        <is>
          <t>Fratrekk: Dokumentert godkjent tiltakseffekt</t>
        </is>
      </c>
      <c r="B8" s="12" t="inlineStr">
        <is>
          <t>Dynamisk sum fra '4 HITL Signoff &amp; Governance'</t>
        </is>
      </c>
      <c r="C8" s="14">
        <f>'4 HITL Signoff &amp; Governance'!H18</f>
        <v/>
      </c>
      <c r="D8" s="18">
        <f>-C8/C6</f>
        <v/>
      </c>
      <c r="E8" s="28" t="inlineStr">
        <is>
          <t>Godkjent HITL</t>
        </is>
      </c>
    </row>
    <row r="9" ht="24" customHeight="1">
      <c r="A9" s="7" t="inlineStr">
        <is>
          <t>Revidert EAC Sluttkostnad</t>
        </is>
      </c>
      <c r="B9" s="12" t="inlineStr">
        <is>
          <t>Ujustert EAC (C7) minus godkjent effekt (C8)</t>
        </is>
      </c>
      <c r="C9" s="14">
        <f>C7-C8</f>
        <v/>
      </c>
      <c r="D9" s="18">
        <f>C9-C6</f>
        <v/>
      </c>
      <c r="E9" s="21" t="inlineStr">
        <is>
          <t>GUL / RØD</t>
        </is>
      </c>
    </row>
    <row r="10" ht="24" customHeight="1">
      <c r="A10" s="7" t="inlineStr">
        <is>
          <t>Gjenstående restavvik mot årsbudsjett</t>
        </is>
      </c>
      <c r="B10" s="12" t="inlineStr">
        <is>
          <t>Revidert EAC (C9) minus årsbudsjett (C6)</t>
        </is>
      </c>
      <c r="C10" s="14">
        <f>C9-C6</f>
        <v/>
      </c>
      <c r="D10" s="18">
        <f>C10/C6</f>
        <v/>
      </c>
      <c r="E10" s="25" t="inlineStr">
        <is>
          <t>Rapporteringsplikt</t>
        </is>
      </c>
    </row>
    <row r="12">
      <c r="A12" s="3" t="inlineStr">
        <is>
          <t>SCENARIO-SAMMENLIGNING: KANDIDAT-POTENSIAL VS. DOKUMENTERT EFFEKT</t>
        </is>
      </c>
    </row>
    <row r="13" ht="24" customHeight="1">
      <c r="A13" s="17" t="inlineStr">
        <is>
          <t>Scenario</t>
        </is>
      </c>
      <c r="B13" s="17" t="inlineStr">
        <is>
          <t>Forutsetning</t>
        </is>
      </c>
      <c r="C13" s="17" t="inlineStr">
        <is>
          <t>Effekt fradrag</t>
        </is>
      </c>
      <c r="D13" s="17" t="inlineStr">
        <is>
          <t>Sluttkostnad (EAC)</t>
        </is>
      </c>
      <c r="E13" s="17" t="inlineStr">
        <is>
          <t>Restavvik</t>
        </is>
      </c>
      <c r="F13" s="17" t="inlineStr">
        <is>
          <t>Avvik %</t>
        </is>
      </c>
      <c r="G13" s="23" t="inlineStr">
        <is>
          <t>Signal</t>
        </is>
      </c>
    </row>
    <row r="14" ht="22" customHeight="1">
      <c r="A14" s="7" t="inlineStr">
        <is>
          <t>1. Grunnlinje (Null nye tiltak)</t>
        </is>
      </c>
      <c r="B14" s="12" t="inlineStr">
        <is>
          <t>Ujustert AI-sesongprognose videreføres</t>
        </is>
      </c>
      <c r="C14" s="13" t="n">
        <v>0</v>
      </c>
      <c r="D14" s="14" t="n">
        <v>19050222.75</v>
      </c>
      <c r="E14" s="14" t="n">
        <v>1816531.75</v>
      </c>
      <c r="F14" s="18" t="n">
        <v>-0.1054</v>
      </c>
      <c r="G14" s="21" t="inlineStr">
        <is>
          <t>RØD</t>
        </is>
      </c>
    </row>
    <row r="15" ht="22" customHeight="1">
      <c r="A15" s="7" t="inlineStr">
        <is>
          <t>2. Teoretisk Kandidat-scenario</t>
        </is>
      </c>
      <c r="B15" s="12" t="inlineStr">
        <is>
          <t>Dersom alle 6 kandidattiltak realiseres fullt ut</t>
        </is>
      </c>
      <c r="C15" s="13" t="n">
        <v>192966.73</v>
      </c>
      <c r="D15" s="14" t="n">
        <v>18857256.02</v>
      </c>
      <c r="E15" s="14" t="n">
        <v>1623565.02</v>
      </c>
      <c r="F15" s="18" t="n">
        <v>-0.09420000000000001</v>
      </c>
      <c r="G15" s="22" t="inlineStr">
        <is>
          <t>GUL</t>
        </is>
      </c>
    </row>
    <row r="16" ht="22" customHeight="1">
      <c r="A16" s="7" t="inlineStr">
        <is>
          <t>3. Dokumentert Godkjent Spor (Dagens vedtak)</t>
        </is>
      </c>
      <c r="B16" s="12" t="inlineStr">
        <is>
          <t>Kun tiltak med 'Godkjent' og 'Kontroll = Ja' godskrives</t>
        </is>
      </c>
      <c r="C16" s="13">
        <f>'4 HITL Signoff &amp; Governance'!H18</f>
        <v/>
      </c>
      <c r="D16" s="14">
        <f>19050222.75-C16</f>
        <v/>
      </c>
      <c r="E16" s="14">
        <f>D16-17233691</f>
        <v/>
      </c>
      <c r="F16" s="18">
        <f>E16/17233691</f>
        <v/>
      </c>
      <c r="G16" s="21" t="inlineStr">
        <is>
          <t>GUL / RØD</t>
        </is>
      </c>
    </row>
    <row r="18">
      <c r="A18" s="3" t="inlineStr">
        <is>
          <t>ANBEFALTE STYRINGSHANDLINGER TIL KOMMUNALSJEF (TERTIALRAPPORTERING)</t>
        </is>
      </c>
    </row>
    <row r="19" ht="20" customHeight="1">
      <c r="A19" s="33" t="inlineStr">
        <is>
          <t>1. Prioritert refusjonsoppfølging (T1): Regnskapsavdelingen må forsere krav mot NAV; forventet innbetaling 41 324 kr i T3.</t>
        </is>
      </c>
    </row>
    <row r="20" ht="20" customHeight="1">
      <c r="A20" s="33" t="inlineStr">
        <is>
          <t>2. Formell drøfting av vikarstopp (T2): Gjennomføre drøftingsmøte iht. HTA § 4 med tillitsvalgte for å sikre partssamarbeid.</t>
        </is>
      </c>
    </row>
    <row r="21" ht="20" customHeight="1">
      <c r="A21" s="33" t="inlineStr">
        <is>
          <t>3. Turnusanalyse for overtid (T3): Avklare HMS-belastning og AML § 10-6 før overtidsreduksjon kan godkjennes.</t>
        </is>
      </c>
    </row>
    <row r="22" ht="20" customHeight="1">
      <c r="A22" s="33" t="inlineStr">
        <is>
          <t>4. Varsel om restavvik: Restavviket på over 1,7 mill. kr overstiger delegert enhetsfullmakt og må tas inn i kommunens samlede tertialsak.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2" customWidth="1" min="2" max="2"/>
    <col width="58" customWidth="1" min="3" max="3"/>
    <col width="16" customWidth="1" min="4" max="4"/>
    <col width="16" customWidth="1" min="5" max="5"/>
    <col width="22" customWidth="1" min="6" max="6"/>
    <col width="29" customWidth="1" min="7" max="7"/>
  </cols>
  <sheetData>
    <row r="1" ht="28" customHeight="1">
      <c r="A1" s="1" t="inlineStr">
        <is>
          <t>Underliggende Transaksjons- og Periodedata · Bo og Miljø (2024)</t>
        </is>
      </c>
    </row>
    <row r="2" ht="18" customHeight="1">
      <c r="A2" s="2" t="inlineStr">
        <is>
          <t>Bokførte data Jan–Aug · Periodisert budsjett Sep–Des | Enhet 5200 · KOSTRA 254</t>
        </is>
      </c>
    </row>
    <row r="3" ht="8" customHeight="1"/>
    <row r="4">
      <c r="A4" s="3" t="inlineStr">
        <is>
          <t>MÅNEDLIG REGNSKAP, BUDSJETT OG AVVIK (TALL I KR)</t>
        </is>
      </c>
    </row>
    <row r="5" ht="24" customHeight="1">
      <c r="A5" s="23" t="inlineStr">
        <is>
          <t>Periode</t>
        </is>
      </c>
      <c r="B5" s="17" t="inlineStr">
        <is>
          <t>Måned</t>
        </is>
      </c>
      <c r="C5" s="23" t="inlineStr">
        <is>
          <t>Status</t>
        </is>
      </c>
      <c r="D5" s="17" t="inlineStr">
        <is>
          <t>Regnskap (kr)</t>
        </is>
      </c>
      <c r="E5" s="17" t="inlineStr">
        <is>
          <t>Budsjett (kr)</t>
        </is>
      </c>
      <c r="F5" s="17" t="inlineStr">
        <is>
          <t>Merforbruk (kr)</t>
        </is>
      </c>
      <c r="G5" s="17" t="inlineStr">
        <is>
          <t>Akkumulert Merforbruk (kr)</t>
        </is>
      </c>
    </row>
    <row r="6" ht="20" customHeight="1">
      <c r="A6" s="20" t="inlineStr">
        <is>
          <t>2024-01</t>
        </is>
      </c>
      <c r="B6" s="12" t="inlineStr">
        <is>
          <t>Januar</t>
        </is>
      </c>
      <c r="C6" s="9" t="inlineStr">
        <is>
          <t>Bokført</t>
        </is>
      </c>
      <c r="D6" s="13" t="n">
        <v>1014751.5</v>
      </c>
      <c r="E6" s="13" t="n">
        <v>1403337</v>
      </c>
      <c r="F6" s="14" t="n">
        <v>-388585.5</v>
      </c>
      <c r="G6" s="14" t="n">
        <v>-388585.5</v>
      </c>
    </row>
    <row r="7" ht="20" customHeight="1">
      <c r="A7" s="20" t="inlineStr">
        <is>
          <t>2024-02</t>
        </is>
      </c>
      <c r="B7" s="12" t="inlineStr">
        <is>
          <t>Februar</t>
        </is>
      </c>
      <c r="C7" s="9" t="inlineStr">
        <is>
          <t>Bokført</t>
        </is>
      </c>
      <c r="D7" s="13" t="n">
        <v>2082089.79</v>
      </c>
      <c r="E7" s="13" t="n">
        <v>1410893</v>
      </c>
      <c r="F7" s="14" t="n">
        <v>671196.79</v>
      </c>
      <c r="G7" s="14" t="n">
        <v>282611.29</v>
      </c>
    </row>
    <row r="8" ht="20" customHeight="1">
      <c r="A8" s="20" t="inlineStr">
        <is>
          <t>2024-03</t>
        </is>
      </c>
      <c r="B8" s="12" t="inlineStr">
        <is>
          <t>Mars</t>
        </is>
      </c>
      <c r="C8" s="9" t="inlineStr">
        <is>
          <t>Bokført</t>
        </is>
      </c>
      <c r="D8" s="13" t="n">
        <v>1541248.51</v>
      </c>
      <c r="E8" s="13" t="n">
        <v>1342381</v>
      </c>
      <c r="F8" s="14" t="n">
        <v>198867.51</v>
      </c>
      <c r="G8" s="14" t="n">
        <v>481478.8</v>
      </c>
    </row>
    <row r="9" ht="20" customHeight="1">
      <c r="A9" s="20" t="inlineStr">
        <is>
          <t>2024-04</t>
        </is>
      </c>
      <c r="B9" s="12" t="inlineStr">
        <is>
          <t>April</t>
        </is>
      </c>
      <c r="C9" s="9" t="inlineStr">
        <is>
          <t>Bokført</t>
        </is>
      </c>
      <c r="D9" s="13" t="n">
        <v>2256715.66</v>
      </c>
      <c r="E9" s="13" t="n">
        <v>2357359</v>
      </c>
      <c r="F9" s="14" t="n">
        <v>-100643.3399999999</v>
      </c>
      <c r="G9" s="14" t="n">
        <v>380835.4600000002</v>
      </c>
    </row>
    <row r="10" ht="20" customHeight="1">
      <c r="A10" s="20" t="inlineStr">
        <is>
          <t>2024-05</t>
        </is>
      </c>
      <c r="B10" s="12" t="inlineStr">
        <is>
          <t>Mai</t>
        </is>
      </c>
      <c r="C10" s="9" t="inlineStr">
        <is>
          <t>Bokført</t>
        </is>
      </c>
      <c r="D10" s="13" t="n">
        <v>1613436.84</v>
      </c>
      <c r="E10" s="13" t="n">
        <v>1544215</v>
      </c>
      <c r="F10" s="14" t="n">
        <v>69221.84000000008</v>
      </c>
      <c r="G10" s="14" t="n">
        <v>450057.3000000003</v>
      </c>
    </row>
    <row r="11" ht="20" customHeight="1">
      <c r="A11" s="20" t="inlineStr">
        <is>
          <t>2024-06</t>
        </is>
      </c>
      <c r="B11" s="12" t="inlineStr">
        <is>
          <t>Juni</t>
        </is>
      </c>
      <c r="C11" s="9" t="inlineStr">
        <is>
          <t>Bokført</t>
        </is>
      </c>
      <c r="D11" s="13" t="n">
        <v>519336.23</v>
      </c>
      <c r="E11" s="13" t="n">
        <v>241681</v>
      </c>
      <c r="F11" s="14" t="n">
        <v>277655.23</v>
      </c>
      <c r="G11" s="14" t="n">
        <v>727712.5300000003</v>
      </c>
    </row>
    <row r="12" ht="20" customHeight="1">
      <c r="A12" s="20" t="inlineStr">
        <is>
          <t>2024-07</t>
        </is>
      </c>
      <c r="B12" s="12" t="inlineStr">
        <is>
          <t>Juli</t>
        </is>
      </c>
      <c r="C12" s="9" t="inlineStr">
        <is>
          <t>Bokført</t>
        </is>
      </c>
      <c r="D12" s="13" t="n">
        <v>1837523.07</v>
      </c>
      <c r="E12" s="13" t="n">
        <v>1512209</v>
      </c>
      <c r="F12" s="14" t="n">
        <v>325314.0700000001</v>
      </c>
      <c r="G12" s="14" t="n">
        <v>1053026.6</v>
      </c>
    </row>
    <row r="13" ht="20" customHeight="1">
      <c r="A13" s="20" t="inlineStr">
        <is>
          <t>2024-08</t>
        </is>
      </c>
      <c r="B13" s="12" t="inlineStr">
        <is>
          <t>August</t>
        </is>
      </c>
      <c r="C13" s="9" t="inlineStr">
        <is>
          <t>Bokført</t>
        </is>
      </c>
      <c r="D13" s="13" t="n">
        <v>1757749.82</v>
      </c>
      <c r="E13" s="13" t="n">
        <v>1525162</v>
      </c>
      <c r="F13" s="14" t="n">
        <v>232587.8200000001</v>
      </c>
      <c r="G13" s="14" t="n">
        <v>1285614.42</v>
      </c>
    </row>
    <row r="14" ht="20" customHeight="1">
      <c r="A14" s="20" t="inlineStr">
        <is>
          <t>2024-09</t>
        </is>
      </c>
      <c r="B14" s="12" t="inlineStr">
        <is>
          <t>September</t>
        </is>
      </c>
      <c r="C14" s="9" t="inlineStr">
        <is>
          <t>Gjenstående budsjett</t>
        </is>
      </c>
      <c r="D14" s="13" t="n">
        <v>0</v>
      </c>
      <c r="E14" s="13" t="n">
        <v>1504399</v>
      </c>
      <c r="F14" s="14" t="n">
        <v>0</v>
      </c>
      <c r="G14" s="14" t="n">
        <v>1285614.42</v>
      </c>
    </row>
    <row r="15" ht="20" customHeight="1">
      <c r="A15" s="20" t="inlineStr">
        <is>
          <t>2024-10</t>
        </is>
      </c>
      <c r="B15" s="12" t="inlineStr">
        <is>
          <t>Oktober</t>
        </is>
      </c>
      <c r="C15" s="9" t="inlineStr">
        <is>
          <t>Gjenstående budsjett</t>
        </is>
      </c>
      <c r="D15" s="13" t="n">
        <v>0</v>
      </c>
      <c r="E15" s="13" t="n">
        <v>1418774</v>
      </c>
      <c r="F15" s="14" t="n">
        <v>0</v>
      </c>
      <c r="G15" s="14" t="n">
        <v>1285614.42</v>
      </c>
    </row>
    <row r="16" ht="20" customHeight="1">
      <c r="A16" s="20" t="inlineStr">
        <is>
          <t>2024-11</t>
        </is>
      </c>
      <c r="B16" s="12" t="inlineStr">
        <is>
          <t>November</t>
        </is>
      </c>
      <c r="C16" s="9" t="inlineStr">
        <is>
          <t>Gjenstående budsjett</t>
        </is>
      </c>
      <c r="D16" s="13" t="n">
        <v>0</v>
      </c>
      <c r="E16" s="13" t="n">
        <v>1418540</v>
      </c>
      <c r="F16" s="14" t="n">
        <v>0</v>
      </c>
      <c r="G16" s="14" t="n">
        <v>1285614.42</v>
      </c>
    </row>
    <row r="17" ht="20" customHeight="1">
      <c r="A17" s="20" t="inlineStr">
        <is>
          <t>2024-12</t>
        </is>
      </c>
      <c r="B17" s="12" t="inlineStr">
        <is>
          <t>Desember</t>
        </is>
      </c>
      <c r="C17" s="9" t="inlineStr">
        <is>
          <t>Gjenstående budsjett</t>
        </is>
      </c>
      <c r="D17" s="13" t="n">
        <v>0</v>
      </c>
      <c r="E17" s="13" t="n">
        <v>1554741</v>
      </c>
      <c r="F17" s="14" t="n">
        <v>0</v>
      </c>
      <c r="G17" s="14" t="n">
        <v>1285614.42</v>
      </c>
    </row>
    <row r="19">
      <c r="A19" s="3" t="inlineStr">
        <is>
          <t>PARAMETERE &amp; STYRINGSTERSKLER</t>
        </is>
      </c>
    </row>
    <row r="20" ht="24" customHeight="1">
      <c r="A20" s="17" t="inlineStr">
        <is>
          <t>Parameter</t>
        </is>
      </c>
      <c r="B20" s="17" t="inlineStr">
        <is>
          <t>Verdi</t>
        </is>
      </c>
      <c r="C20" s="17" t="inlineStr">
        <is>
          <t>Beskrivelse / Tolkning</t>
        </is>
      </c>
    </row>
    <row r="21" ht="20" customHeight="1">
      <c r="A21" s="7" t="inlineStr">
        <is>
          <t>Terskel for RØD status</t>
        </is>
      </c>
      <c r="B21" s="18" t="n">
        <v>0.02</v>
      </c>
      <c r="C21" s="9" t="inlineStr">
        <is>
          <t>Avvik over 2 % utløser rødt styringssignal og krav om saksfremlegg</t>
        </is>
      </c>
    </row>
    <row r="22" ht="20" customHeight="1">
      <c r="A22" s="7" t="inlineStr">
        <is>
          <t>Terskel for GUL observasjon</t>
        </is>
      </c>
      <c r="B22" s="18" t="n">
        <v>0</v>
      </c>
      <c r="C22" s="9" t="inlineStr">
        <is>
          <t>Avvik mellom 0 % og 2 % krever skjerpet oppfølging</t>
        </is>
      </c>
    </row>
    <row r="23" ht="20" customHeight="1">
      <c r="A23" s="7" t="inlineStr">
        <is>
          <t>Sjablong trendandel</t>
        </is>
      </c>
      <c r="B23" s="18" t="n">
        <v>0.5</v>
      </c>
      <c r="C23" s="9" t="inlineStr">
        <is>
          <t>Standard andel (50 %) av positivt YTD-avvik videreført i forenklet modell</t>
        </is>
      </c>
    </row>
    <row r="24" ht="20" customHeight="1">
      <c r="A24" s="7" t="inlineStr">
        <is>
          <t>Deflator lønns- og prisvekst</t>
        </is>
      </c>
      <c r="B24" s="18" t="n">
        <v>0.041</v>
      </c>
      <c r="C24" s="9" t="inlineStr">
        <is>
          <t>Kristiansand kommunes standard deflatorsats (4,1 %) for 2024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2026-10-13T07:41:55Z</dcterms:created>
  <dcterms:modified xmlns:dcterms="http://purl.org/dc/terms/" xmlns:xsi="http://www.w3.org/2001/XMLSchema-instance" xsi:type="dcterms:W3CDTF">2026-10-13T07:42:54Z</dcterms:modified>
</cp:coreProperties>
</file>