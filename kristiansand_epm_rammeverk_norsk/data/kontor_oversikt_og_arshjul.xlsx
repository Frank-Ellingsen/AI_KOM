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_og_Oversikt" sheetId="1" state="visible" r:id="rId1"/>
    <sheet xmlns:r="http://schemas.openxmlformats.org/officeDocument/2006/relationships" name="Kommunalt_Årshjul_2026" sheetId="2" state="visible" r:id="rId2"/>
    <sheet xmlns:r="http://schemas.openxmlformats.org/officeDocument/2006/relationships" name="Prosjektarkiv_og_Rapporter" sheetId="3" state="visible" r:id="rId3"/>
    <sheet xmlns:r="http://schemas.openxmlformats.org/officeDocument/2006/relationships" name="Sjekkliste_og_Avsjek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2060"/>
      <sz val="11"/>
      <u val="single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45" customWidth="1" min="3" max="3"/>
    <col width="22" customWidth="1" min="4" max="4"/>
    <col width="25" customWidth="1" min="5" max="5"/>
  </cols>
  <sheetData>
    <row r="1" ht="40" customHeight="1">
      <c r="A1" s="1" t="inlineStr">
        <is>
          <t>KRISTIANSAND KOMMUNE - CONTROL OFFICE &amp; SUPERVISOR OVERSIKT</t>
        </is>
      </c>
    </row>
    <row r="2">
      <c r="A2" s="2" t="inlineStr">
        <is>
          <t>System &amp; Styringshub for Rådgiver Økonomistyring | Version 1.0 (2026)</t>
        </is>
      </c>
    </row>
    <row r="3"/>
    <row r="4">
      <c r="A4" s="3" t="inlineStr">
        <is>
          <t>1. ROLLER OG ANSVARSFORDELING I STYRINGSSLØYFEN</t>
        </is>
      </c>
    </row>
    <row r="5" ht="25" customHeight="1">
      <c r="A5" s="4" t="inlineStr">
        <is>
          <t>Rolle / Tittel</t>
        </is>
      </c>
      <c r="B5" s="4" t="inlineStr">
        <is>
          <t>Hovedansvar &amp; Beslutningsmyndighet</t>
        </is>
      </c>
      <c r="C5" s="4" t="inlineStr">
        <is>
          <t>Systemflate / Verktøy</t>
        </is>
      </c>
      <c r="D5" s="4" t="inlineStr">
        <is>
          <t>Frekvens</t>
        </is>
      </c>
      <c r="E5" s="4" t="inlineStr">
        <is>
          <t>Status</t>
        </is>
      </c>
    </row>
    <row r="6" ht="22" customHeight="1">
      <c r="A6" s="5" t="inlineStr">
        <is>
          <t>Økonomidirektør (Supervisor)</t>
        </is>
      </c>
      <c r="B6" s="6" t="inlineStr">
        <is>
          <t>Overordnet godkjenning av tertialrapporter, politisk innstilling (Bystyret), kvalitetssikring av EPM Stage-Gate og risikostyring.</t>
        </is>
      </c>
      <c r="C6" s="6" t="inlineStr">
        <is>
          <t>Power BI Executive Dashboard / PDF Briefing / Word Saksfremlegg</t>
        </is>
      </c>
      <c r="D6" s="5" t="inlineStr">
        <is>
          <t>Månedlig / Tertialvis</t>
        </is>
      </c>
      <c r="E6" s="5" t="inlineStr">
        <is>
          <t>AKTIV / OPERATIV</t>
        </is>
      </c>
    </row>
    <row r="7" ht="22" customHeight="1">
      <c r="A7" s="7" t="inlineStr">
        <is>
          <t>Rådgiver Økonomistyring (HITL)</t>
        </is>
      </c>
      <c r="B7" s="8" t="inlineStr">
        <is>
          <t>Daglig avvikskontroll, nøytralisering av Visma ERP-etterslep (art 1690), What-If scenariomodellering, RAG Glass-Box evaluering og HITL-signoff.</t>
        </is>
      </c>
      <c r="C7" s="8" t="inlineStr">
        <is>
          <t>Power BI / Excel What-If / Controller AI Portal / M365 Teams</t>
        </is>
      </c>
      <c r="D7" s="7" t="inlineStr">
        <is>
          <t>Ukentlig / Månedlig</t>
        </is>
      </c>
      <c r="E7" s="7" t="inlineStr">
        <is>
          <t>AKTIV / OPERATIV</t>
        </is>
      </c>
    </row>
    <row r="8" ht="22" customHeight="1">
      <c r="A8" s="5" t="inlineStr">
        <is>
          <t>Kommunalsjef / Sektorleder</t>
        </is>
      </c>
      <c r="B8" s="6" t="inlineStr">
        <is>
          <t>Sektorvis budsjettstyring, vurdering av samleavvik på tvers av enheter, omdisponering innenfor administrative rammer (§ 4.2).</t>
        </is>
      </c>
      <c r="C8" s="6" t="inlineStr">
        <is>
          <t>Power BI Sektormatrise / Teams Adaptive Cards</t>
        </is>
      </c>
      <c r="D8" s="5" t="inlineStr">
        <is>
          <t>Månedlig</t>
        </is>
      </c>
      <c r="E8" s="5" t="inlineStr">
        <is>
          <t>AKTIV / OPERATIV</t>
        </is>
      </c>
    </row>
    <row r="9" ht="22" customHeight="1">
      <c r="A9" s="7" t="inlineStr">
        <is>
          <t>Enhetsleder (Skole / Boenhet)</t>
        </is>
      </c>
      <c r="B9" s="8" t="inlineStr">
        <is>
          <t>Lokal rammestyring, godkjenning av fraværstiltak, vikarbruk og oppfølging av operative driftstiltak ute i enhetene.</t>
        </is>
      </c>
      <c r="C9" s="8" t="inlineStr">
        <is>
          <t>Framsikt / Visma ERP / Teams Varslinger</t>
        </is>
      </c>
      <c r="D9" s="7" t="inlineStr">
        <is>
          <t>Månedlig</t>
        </is>
      </c>
      <c r="E9" s="7" t="inlineStr">
        <is>
          <t>AKTIV / OPERATIV</t>
        </is>
      </c>
    </row>
    <row r="10" ht="22" customHeight="1">
      <c r="A10" s="5" t="inlineStr">
        <is>
          <t>DPO &amp; IT-Sikkerhetsansvarlig</t>
        </is>
      </c>
      <c r="B10" s="6" t="inlineStr">
        <is>
          <t>Overvåking av Stage-Gate portkontroll (1-10), PII-skjerming, audit-logg (SHA-256) og oppdatering av offentlig Algoritmeregister.</t>
        </is>
      </c>
      <c r="C10" s="6" t="inlineStr">
        <is>
          <t>Audit Log (SQLite) / PII Scrubber / Algoritmeregister</t>
        </is>
      </c>
      <c r="D10" s="5" t="inlineStr">
        <is>
          <t>Kontinuerlig</t>
        </is>
      </c>
      <c r="E10" s="5" t="inlineStr">
        <is>
          <t>AKTIV / OPERATIV</t>
        </is>
      </c>
    </row>
    <row r="11"/>
    <row r="12">
      <c r="A12" s="3" t="inlineStr">
        <is>
          <t>2. DIREKTE NAVIGASJON TIL UNDERLIGGENDE FANER OG MODULER</t>
        </is>
      </c>
    </row>
    <row r="13" ht="24" customHeight="1">
      <c r="A13" s="4" t="inlineStr">
        <is>
          <t>Modul / Fane</t>
        </is>
      </c>
      <c r="B13" s="4" t="inlineStr">
        <is>
          <t>Beskrivelse</t>
        </is>
      </c>
      <c r="C13" s="4" t="inlineStr">
        <is>
          <t>Navigasjonslenke</t>
        </is>
      </c>
    </row>
    <row r="14" ht="22" customHeight="1">
      <c r="A14" s="9" t="inlineStr">
        <is>
          <t>📅 Kommunalt Årshjul 2026</t>
        </is>
      </c>
      <c r="B14" s="10" t="inlineStr">
        <is>
          <t>Komplett kalender for K1-K4 med SSB-frister, tertialrapporter, HØP og Bystyrevedtak.</t>
        </is>
      </c>
      <c r="C14" s="11">
        <f>HYPERLINK("#Kommunalt_Årshjul_2026!A1", "Gå til Årshjul →")</f>
        <v/>
      </c>
    </row>
    <row r="15" ht="22" customHeight="1">
      <c r="A15" s="9" t="inlineStr">
        <is>
          <t>📂 Prosjekt- og Rapportarkiv</t>
        </is>
      </c>
      <c r="B15" s="10" t="inlineStr">
        <is>
          <t>Oversikt over alle ferdige rapporter (Word, PPTX, PDF, Excel, Python) med filstier.</t>
        </is>
      </c>
      <c r="C15" s="11">
        <f>HYPERLINK("#Prosjektarkiv_og_Rapporter!A1", "Gå til Arkiv →")</f>
        <v/>
      </c>
    </row>
    <row r="16" ht="22" customHeight="1">
      <c r="A16" s="9" t="inlineStr">
        <is>
          <t>✅ Sjekkliste &amp; Avsjekk (HITL)</t>
        </is>
      </c>
      <c r="B16" s="10" t="inlineStr">
        <is>
          <t>Operativ sjekkliste for økonomirådgiverens månedlige og tertialvise kontrollpunkter.</t>
        </is>
      </c>
      <c r="C16" s="11">
        <f>HYPERLINK("#Sjekkliste_og_Avsjekk!A1", "Gå til Sjekkliste →")</f>
        <v/>
      </c>
    </row>
  </sheetData>
  <mergeCells count="2"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25" customWidth="1" min="4" max="4"/>
    <col width="30" customWidth="1" min="5" max="5"/>
    <col width="38" customWidth="1" min="6" max="6"/>
    <col width="18" customWidth="1" min="7" max="7"/>
  </cols>
  <sheetData>
    <row r="1" ht="35" customHeight="1">
      <c r="A1" s="1" t="inlineStr">
        <is>
          <t>DET KOMMUNALE ÅRSHJULET 2026 - TIDSFRISTER OG RAPPORTERINGSFLYT</t>
        </is>
      </c>
    </row>
    <row r="2"/>
    <row r="3" ht="25" customHeight="1">
      <c r="A3" s="4" t="inlineStr">
        <is>
          <t>Frist / Dato</t>
        </is>
      </c>
      <c r="B3" s="4" t="inlineStr">
        <is>
          <t>Kvartal</t>
        </is>
      </c>
      <c r="C3" s="4" t="inlineStr">
        <is>
          <t>Aktivitet / Styringshendelse</t>
        </is>
      </c>
      <c r="D3" s="4" t="inlineStr">
        <is>
          <t>Kategori</t>
        </is>
      </c>
      <c r="E3" s="4" t="inlineStr">
        <is>
          <t>Ansvarlig Rolle</t>
        </is>
      </c>
      <c r="F3" s="4" t="inlineStr">
        <is>
          <t>Leveranse / Rapport</t>
        </is>
      </c>
      <c r="G3" s="4" t="inlineStr">
        <is>
          <t>Status</t>
        </is>
      </c>
    </row>
    <row r="4" ht="20" customHeight="1">
      <c r="A4" s="5" t="inlineStr">
        <is>
          <t>15.01.2026</t>
        </is>
      </c>
      <c r="B4" s="5" t="inlineStr">
        <is>
          <t>K1</t>
        </is>
      </c>
      <c r="C4" s="6" t="inlineStr">
        <is>
          <t>Innsending av KOSTRA helse &amp; omsorgsskjemaer</t>
        </is>
      </c>
      <c r="D4" s="5" t="inlineStr">
        <is>
          <t>Ekstern Frist (SSB)</t>
        </is>
      </c>
      <c r="E4" s="6" t="inlineStr">
        <is>
          <t>Økonomirådgiver / SSB-ansvarlig</t>
        </is>
      </c>
      <c r="F4" s="6" t="inlineStr">
        <is>
          <t>Skjema 4, 5, 11, 15 til SSB</t>
        </is>
      </c>
      <c r="G4" s="12" t="inlineStr">
        <is>
          <t>Fullført</t>
        </is>
      </c>
    </row>
    <row r="5" ht="20" customHeight="1">
      <c r="A5" s="7" t="inlineStr">
        <is>
          <t>23.02.2026</t>
        </is>
      </c>
      <c r="B5" s="7" t="inlineStr">
        <is>
          <t>K1</t>
        </is>
      </c>
      <c r="C5" s="8" t="inlineStr">
        <is>
          <t>Obligatorisk innsending av regnskapsfiler til KOSTRA</t>
        </is>
      </c>
      <c r="D5" s="7" t="inlineStr">
        <is>
          <t>Ekstern Frist (SSB)</t>
        </is>
      </c>
      <c r="E5" s="8" t="inlineStr">
        <is>
          <t>Økonomirådgiver</t>
        </is>
      </c>
      <c r="F5" s="8" t="inlineStr">
        <is>
          <t>Skjema 0A, 0B, 0M, 0N</t>
        </is>
      </c>
      <c r="G5" s="12" t="inlineStr">
        <is>
          <t>Fullført</t>
        </is>
      </c>
    </row>
    <row r="6" ht="20" customHeight="1">
      <c r="A6" s="5" t="inlineStr">
        <is>
          <t>09.03.2026</t>
        </is>
      </c>
      <c r="B6" s="5" t="inlineStr">
        <is>
          <t>K1</t>
        </is>
      </c>
      <c r="C6" s="6" t="inlineStr">
        <is>
          <t>Endelig regnskapsavslutning og avstemming 2025</t>
        </is>
      </c>
      <c r="D6" s="5" t="inlineStr">
        <is>
          <t>Intern Frist</t>
        </is>
      </c>
      <c r="E6" s="6" t="inlineStr">
        <is>
          <t>Økonomidirektør / Controller</t>
        </is>
      </c>
      <c r="F6" s="6" t="inlineStr">
        <is>
          <t>Endelig årsregnskap 2025</t>
        </is>
      </c>
      <c r="G6" s="12" t="inlineStr">
        <is>
          <t>Fullført</t>
        </is>
      </c>
    </row>
    <row r="7" ht="20" customHeight="1">
      <c r="A7" s="7" t="inlineStr">
        <is>
          <t>15.03.2026</t>
        </is>
      </c>
      <c r="B7" s="7" t="inlineStr">
        <is>
          <t>K1</t>
        </is>
      </c>
      <c r="C7" s="8" t="inlineStr">
        <is>
          <t>SSB publiserer ureviderte KOSTRA-tall</t>
        </is>
      </c>
      <c r="D7" s="7" t="inlineStr">
        <is>
          <t>Ekstern Hendelse</t>
        </is>
      </c>
      <c r="E7" s="8" t="inlineStr">
        <is>
          <t>SSB / RAG Ingestion Engine</t>
        </is>
      </c>
      <c r="F7" s="8" t="inlineStr">
        <is>
          <t>RAG Auto-oppdatering i Kunnskapsbase</t>
        </is>
      </c>
      <c r="G7" s="12" t="inlineStr">
        <is>
          <t>Fullført</t>
        </is>
      </c>
    </row>
    <row r="8" ht="20" customHeight="1">
      <c r="A8" s="5" t="inlineStr">
        <is>
          <t>31.03.2026</t>
        </is>
      </c>
      <c r="B8" s="5" t="inlineStr">
        <is>
          <t>K1</t>
        </is>
      </c>
      <c r="C8" s="6" t="inlineStr">
        <is>
          <t>Kommunedirektørens Årsrapport &amp; Årsberetning 2025</t>
        </is>
      </c>
      <c r="D8" s="5" t="inlineStr">
        <is>
          <t>Intern / Politisk Frist</t>
        </is>
      </c>
      <c r="E8" s="6" t="inlineStr">
        <is>
          <t>Kommunedirektør / Supervisor</t>
        </is>
      </c>
      <c r="F8" s="6" t="inlineStr">
        <is>
          <t>Årsrapport 2025 til Formannskapet</t>
        </is>
      </c>
      <c r="G8" s="12" t="inlineStr">
        <is>
          <t>Fullført</t>
        </is>
      </c>
    </row>
    <row r="9" ht="20" customHeight="1">
      <c r="A9" s="7" t="inlineStr">
        <is>
          <t>15.04.2026</t>
        </is>
      </c>
      <c r="B9" s="7" t="inlineStr">
        <is>
          <t>K2</t>
        </is>
      </c>
      <c r="C9" s="8" t="inlineStr">
        <is>
          <t>Kommunal Revisjon avgir revisjonsberetning</t>
        </is>
      </c>
      <c r="D9" s="7" t="inlineStr">
        <is>
          <t>Ekstern Frist (Revisjon)</t>
        </is>
      </c>
      <c r="E9" s="8" t="inlineStr">
        <is>
          <t>Kommunal Revisjon / Control Board</t>
        </is>
      </c>
      <c r="F9" s="8" t="inlineStr">
        <is>
          <t>Revisjonsberetning 2025</t>
        </is>
      </c>
      <c r="G9" s="12" t="inlineStr">
        <is>
          <t>Fullført</t>
        </is>
      </c>
    </row>
    <row r="10" ht="20" customHeight="1">
      <c r="A10" s="5" t="inlineStr">
        <is>
          <t>20.05.2026</t>
        </is>
      </c>
      <c r="B10" s="5" t="inlineStr">
        <is>
          <t>K2</t>
        </is>
      </c>
      <c r="C10" s="6" t="inlineStr">
        <is>
          <t>Bystyrets behandling og godkjenning av Årsregnskap</t>
        </is>
      </c>
      <c r="D10" s="5" t="inlineStr">
        <is>
          <t>Politisk Vedtak</t>
        </is>
      </c>
      <c r="E10" s="6" t="inlineStr">
        <is>
          <t>Bystyret / Kommunedirektør</t>
        </is>
      </c>
      <c r="F10" s="6" t="inlineStr">
        <is>
          <t>Bystyrevedtak regnskap 2025</t>
        </is>
      </c>
      <c r="G10" s="12" t="inlineStr">
        <is>
          <t>Fullført</t>
        </is>
      </c>
    </row>
    <row r="11" ht="20" customHeight="1">
      <c r="A11" s="7" t="inlineStr">
        <is>
          <t>25.05.2026</t>
        </is>
      </c>
      <c r="B11" s="7" t="inlineStr">
        <is>
          <t>K2</t>
        </is>
      </c>
      <c r="C11" s="8" t="inlineStr">
        <is>
          <t>Fremleggelse av 1. Tertialrapport 2026 (T1)</t>
        </is>
      </c>
      <c r="D11" s="7" t="inlineStr">
        <is>
          <t>Intern / Politisk Frist</t>
        </is>
      </c>
      <c r="E11" s="8" t="inlineStr">
        <is>
          <t>Økonomidirektør / Rådgiver</t>
        </is>
      </c>
      <c r="F11" s="8" t="inlineStr">
        <is>
          <t>T1-Rapport med Visma-korreksjon</t>
        </is>
      </c>
      <c r="G11" s="13" t="inlineStr">
        <is>
          <t>I arbeid</t>
        </is>
      </c>
    </row>
    <row r="12" ht="20" customHeight="1">
      <c r="A12" s="5" t="inlineStr">
        <is>
          <t>02.06.2026</t>
        </is>
      </c>
      <c r="B12" s="5" t="inlineStr">
        <is>
          <t>K2</t>
        </is>
      </c>
      <c r="C12" s="6" t="inlineStr">
        <is>
          <t>Regjeringen fremlegger Revidert Nasjonalbudsjett (RNB)</t>
        </is>
      </c>
      <c r="D12" s="5" t="inlineStr">
        <is>
          <t>Ekstern Hendelse</t>
        </is>
      </c>
      <c r="E12" s="6" t="inlineStr">
        <is>
          <t>Finansdepartementet</t>
        </is>
      </c>
      <c r="F12" s="6" t="inlineStr">
        <is>
          <t>RNB Rammeoppdatering</t>
        </is>
      </c>
      <c r="G12" s="5" t="inlineStr">
        <is>
          <t>Planlagt</t>
        </is>
      </c>
    </row>
    <row r="13" ht="20" customHeight="1">
      <c r="A13" s="7" t="inlineStr">
        <is>
          <t>15.06.2026</t>
        </is>
      </c>
      <c r="B13" s="7" t="inlineStr">
        <is>
          <t>K2</t>
        </is>
      </c>
      <c r="C13" s="8" t="inlineStr">
        <is>
          <t>SSB publiserer endelige KOSTRA-tall (ASSS Benchmark)</t>
        </is>
      </c>
      <c r="D13" s="7" t="inlineStr">
        <is>
          <t>Ekstern Hendelse</t>
        </is>
      </c>
      <c r="E13" s="8" t="inlineStr">
        <is>
          <t>SSB / RAG Ingestion Engine</t>
        </is>
      </c>
      <c r="F13" s="8" t="inlineStr">
        <is>
          <t>Endelig KOSTRA benchmark-base</t>
        </is>
      </c>
      <c r="G13" s="7" t="inlineStr">
        <is>
          <t>Planlagt</t>
        </is>
      </c>
    </row>
    <row r="14" ht="20" customHeight="1">
      <c r="A14" s="5" t="inlineStr">
        <is>
          <t>15.08.2026</t>
        </is>
      </c>
      <c r="B14" s="5" t="inlineStr">
        <is>
          <t>K3</t>
        </is>
      </c>
      <c r="C14" s="6" t="inlineStr">
        <is>
          <t>Innspill fra tjenesteområder til ny HØP 2027-2030</t>
        </is>
      </c>
      <c r="D14" s="5" t="inlineStr">
        <is>
          <t>Intern Frist</t>
        </is>
      </c>
      <c r="E14" s="6" t="inlineStr">
        <is>
          <t>Kommunalsjefer / Enhetsledere</t>
        </is>
      </c>
      <c r="F14" s="6" t="inlineStr">
        <is>
          <t>Rammebehov &amp; Investeringsliste</t>
        </is>
      </c>
      <c r="G14" s="5" t="inlineStr">
        <is>
          <t>Planlagt</t>
        </is>
      </c>
    </row>
    <row r="15" ht="20" customHeight="1">
      <c r="A15" s="7" t="inlineStr">
        <is>
          <t>23.09.2026</t>
        </is>
      </c>
      <c r="B15" s="7" t="inlineStr">
        <is>
          <t>K3</t>
        </is>
      </c>
      <c r="C15" s="8" t="inlineStr">
        <is>
          <t>Kommunedirektørens forslag til HØP 2027-2030</t>
        </is>
      </c>
      <c r="D15" s="7" t="inlineStr">
        <is>
          <t>Intern / Politisk Frist</t>
        </is>
      </c>
      <c r="E15" s="8" t="inlineStr">
        <is>
          <t>Kommunedirektør / Økonomidirektør</t>
        </is>
      </c>
      <c r="F15" s="8" t="inlineStr">
        <is>
          <t>HØP 2027-2030 forslag</t>
        </is>
      </c>
      <c r="G15" s="7" t="inlineStr">
        <is>
          <t>Planlagt</t>
        </is>
      </c>
    </row>
    <row r="16" ht="20" customHeight="1">
      <c r="A16" s="5" t="inlineStr">
        <is>
          <t>28.09.2026</t>
        </is>
      </c>
      <c r="B16" s="5" t="inlineStr">
        <is>
          <t>K3</t>
        </is>
      </c>
      <c r="C16" s="6" t="inlineStr">
        <is>
          <t>Formannskapets behandling av 2. Tertialrapport (T2)</t>
        </is>
      </c>
      <c r="D16" s="5" t="inlineStr">
        <is>
          <t>Politisk Vedtak</t>
        </is>
      </c>
      <c r="E16" s="6" t="inlineStr">
        <is>
          <t>Formannskapet / Supervisor</t>
        </is>
      </c>
      <c r="F16" s="6" t="inlineStr">
        <is>
          <t>T2-Rapport og Budsjettsak</t>
        </is>
      </c>
      <c r="G16" s="5" t="inlineStr">
        <is>
          <t>Planlagt</t>
        </is>
      </c>
    </row>
    <row r="17" ht="20" customHeight="1">
      <c r="A17" s="7" t="inlineStr">
        <is>
          <t>07.10.2026</t>
        </is>
      </c>
      <c r="B17" s="7" t="inlineStr">
        <is>
          <t>K4</t>
        </is>
      </c>
      <c r="C17" s="8" t="inlineStr">
        <is>
          <t>Regjeringen fremlegger Statsbudsjettet 2027</t>
        </is>
      </c>
      <c r="D17" s="7" t="inlineStr">
        <is>
          <t>Ekstern Hendelse</t>
        </is>
      </c>
      <c r="E17" s="8" t="inlineStr">
        <is>
          <t>Finansdepartementet</t>
        </is>
      </c>
      <c r="F17" s="8" t="inlineStr">
        <is>
          <t>Kommuneopplegget 2027</t>
        </is>
      </c>
      <c r="G17" s="7" t="inlineStr">
        <is>
          <t>Planlagt</t>
        </is>
      </c>
    </row>
    <row r="18" ht="20" customHeight="1">
      <c r="A18" s="5" t="inlineStr">
        <is>
          <t>25.11.2026</t>
        </is>
      </c>
      <c r="B18" s="5" t="inlineStr">
        <is>
          <t>K4</t>
        </is>
      </c>
      <c r="C18" s="6" t="inlineStr">
        <is>
          <t>Formannskapets innstilling til Årsbudsjett 2027 offentliggjøres</t>
        </is>
      </c>
      <c r="D18" s="5" t="inlineStr">
        <is>
          <t>Politisk Frist</t>
        </is>
      </c>
      <c r="E18" s="6" t="inlineStr">
        <is>
          <t>Formannskapet</t>
        </is>
      </c>
      <c r="F18" s="6" t="inlineStr">
        <is>
          <t>Offentlig HØP/Budsjettinnstilling</t>
        </is>
      </c>
      <c r="G18" s="5" t="inlineStr">
        <is>
          <t>Planlagt</t>
        </is>
      </c>
    </row>
    <row r="19" ht="20" customHeight="1">
      <c r="A19" s="7" t="inlineStr">
        <is>
          <t>18.12.2026</t>
        </is>
      </c>
      <c r="B19" s="7" t="inlineStr">
        <is>
          <t>K4</t>
        </is>
      </c>
      <c r="C19" s="8" t="inlineStr">
        <is>
          <t>Bystyrets endelige vedtak av Årsbudsjett 2027 og HØP</t>
        </is>
      </c>
      <c r="D19" s="7" t="inlineStr">
        <is>
          <t>Politisk Vedtak</t>
        </is>
      </c>
      <c r="E19" s="8" t="inlineStr">
        <is>
          <t>Bystyret / Kommunedirektør</t>
        </is>
      </c>
      <c r="F19" s="8" t="inlineStr">
        <is>
          <t>Endelig Bystyrevedtak 2027</t>
        </is>
      </c>
      <c r="G19" s="7" t="inlineStr">
        <is>
          <t>Planlagt</t>
        </is>
      </c>
    </row>
  </sheetData>
  <mergeCells count="1">
    <mergeCell ref="A1:G1"/>
  </mergeCells>
  <dataValidations count="1">
    <dataValidation sqref="G4 G5 G6 G7 G8 G9 G10 G11 G12 G13 G14 G15 G16 G17 G18 G19" showDropDown="0" showInputMessage="0" showErrorMessage="0" allowBlank="1" type="list">
      <formula1>"Fullført,I arbeid,Planlagt,Klar til kontroll,Forsinket"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65" customWidth="1" min="3" max="3"/>
    <col width="28" customWidth="1" min="4" max="4"/>
    <col width="45" customWidth="1" min="5" max="5"/>
    <col width="20" customWidth="1" min="6" max="6"/>
  </cols>
  <sheetData>
    <row r="1" ht="35" customHeight="1">
      <c r="A1" s="1" t="inlineStr">
        <is>
          <t>PROSJEKT- OG RAPPORTARKIV - KRISTIANSAND KOMMUNE EPM</t>
        </is>
      </c>
    </row>
    <row r="2"/>
    <row r="3" ht="25" customHeight="1">
      <c r="A3" s="4" t="inlineStr">
        <is>
          <t>Filnavn / Artefakt</t>
        </is>
      </c>
      <c r="B3" s="4" t="inlineStr">
        <is>
          <t>Format</t>
        </is>
      </c>
      <c r="C3" s="4" t="inlineStr">
        <is>
          <t>Kategori &amp; Beskrivelse</t>
        </is>
      </c>
      <c r="D3" s="4" t="inlineStr">
        <is>
          <t>Målgruppe</t>
        </is>
      </c>
      <c r="E3" s="4" t="inlineStr">
        <is>
          <t>Filvei i Arkivet</t>
        </is>
      </c>
      <c r="F3" s="4" t="inlineStr">
        <is>
          <t>Status</t>
        </is>
      </c>
    </row>
    <row r="4" ht="22" customHeight="1">
      <c r="A4" s="14" t="inlineStr">
        <is>
          <t>epm_presentasjon_okonomidirektor.pptx</t>
        </is>
      </c>
      <c r="B4" s="5" t="inlineStr">
        <is>
          <t>PowerPoint (.pptx)</t>
        </is>
      </c>
      <c r="C4" s="6" t="inlineStr">
        <is>
          <t>Executive lysbildeinnlegg med aksjonstitler, Visma-etterslep og Stage-Gate governance.</t>
        </is>
      </c>
      <c r="D4" s="6" t="inlineStr">
        <is>
          <t>Økonomidirektør / Lederteam</t>
        </is>
      </c>
      <c r="E4" s="6" t="inlineStr">
        <is>
          <t>presentasjon/epm_presentasjon_okonomidirektor.pptx</t>
        </is>
      </c>
      <c r="F4" s="12" t="inlineStr">
        <is>
          <t>Fullført &amp; Synket</t>
        </is>
      </c>
    </row>
    <row r="5" ht="22" customHeight="1">
      <c r="A5" s="15" t="inlineStr">
        <is>
          <t>saksfremlegg_epm_okonomidirektor.docx</t>
        </is>
      </c>
      <c r="B5" s="7" t="inlineStr">
        <is>
          <t>Word (.docx)</t>
        </is>
      </c>
      <c r="C5" s="8" t="inlineStr">
        <is>
          <t>Formelt saksfremlegg (Arkivsak 26/04820-1) med 4 vedtakspunkter og RACI-matrise.</t>
        </is>
      </c>
      <c r="D5" s="8" t="inlineStr">
        <is>
          <t>Økonomidirektør / Bystyret</t>
        </is>
      </c>
      <c r="E5" s="8" t="inlineStr">
        <is>
          <t>dokumentasjon/saksfremlegg_epm_okonomidirektor.docx</t>
        </is>
      </c>
      <c r="F5" s="12" t="inlineStr">
        <is>
          <t>Fullført &amp; Synket</t>
        </is>
      </c>
    </row>
    <row r="6" ht="22" customHeight="1">
      <c r="A6" s="14" t="inlineStr">
        <is>
          <t>kravspesifikasjon_ai_innkjop.docx</t>
        </is>
      </c>
      <c r="B6" s="5" t="inlineStr">
        <is>
          <t>Word (.docx)</t>
        </is>
      </c>
      <c r="C6" s="6" t="inlineStr">
        <is>
          <t>Bilag 1 Kravspesifikasjon for AI-innkjøp med minstekrav (GDPR, EU AI Act, NIS2, CRA).</t>
        </is>
      </c>
      <c r="D6" s="6" t="inlineStr">
        <is>
          <t>Innkjøpsavdeling / DPO</t>
        </is>
      </c>
      <c r="E6" s="6" t="inlineStr">
        <is>
          <t>dokumentasjon/kravspesifikasjon_ai_innkjop.docx</t>
        </is>
      </c>
      <c r="F6" s="12" t="inlineStr">
        <is>
          <t>Fullført &amp; Synket</t>
        </is>
      </c>
    </row>
    <row r="7" ht="22" customHeight="1">
      <c r="A7" s="15" t="inlineStr">
        <is>
          <t>tildelingsskjema_ai_anbud.xlsx</t>
        </is>
      </c>
      <c r="B7" s="7" t="inlineStr">
        <is>
          <t>Excel (.xlsx)</t>
        </is>
      </c>
      <c r="C7" s="8" t="inlineStr">
        <is>
          <t>Interaktiv anbudsevaluering med vektede tildelingskriterier og karakterskala (0-10).</t>
        </is>
      </c>
      <c r="D7" s="8" t="inlineStr">
        <is>
          <t>Evalueringskomité / Innkjøp</t>
        </is>
      </c>
      <c r="E7" s="8" t="inlineStr">
        <is>
          <t>data/tildelingsskjema_ai_anbud.xlsx</t>
        </is>
      </c>
      <c r="F7" s="12" t="inlineStr">
        <is>
          <t>Fullført &amp; Synket</t>
        </is>
      </c>
    </row>
    <row r="8" ht="22" customHeight="1">
      <c r="A8" s="14" t="inlineStr">
        <is>
          <t>epm_sammendrag_kristiansand.pdf</t>
        </is>
      </c>
      <c r="B8" s="5" t="inlineStr">
        <is>
          <t>PDF (.pdf)</t>
        </is>
      </c>
      <c r="C8" s="6" t="inlineStr">
        <is>
          <t>1-sides Executive Briefing med Visma-korreksjonstabell, M365-flyt og vedtak.</t>
        </is>
      </c>
      <c r="D8" s="6" t="inlineStr">
        <is>
          <t>Økonomidirektør</t>
        </is>
      </c>
      <c r="E8" s="6" t="inlineStr">
        <is>
          <t>dokumentasjon/epm_sammendrag_kristiansand.pdf</t>
        </is>
      </c>
      <c r="F8" s="12" t="inlineStr">
        <is>
          <t>Fullført &amp; Synket</t>
        </is>
      </c>
    </row>
    <row r="9" ht="22" customHeight="1">
      <c r="A9" s="15" t="inlineStr">
        <is>
          <t>kristiansand_epm_modell.xlsx</t>
        </is>
      </c>
      <c r="B9" s="7" t="inlineStr">
        <is>
          <t>Excel (.xlsx)</t>
        </is>
      </c>
      <c r="C9" s="8" t="inlineStr">
        <is>
          <t>Hovedmodell for Visma-etterslep, KOSTRA-drilldown og dynamiske What-If EOY-parametere.</t>
        </is>
      </c>
      <c r="D9" s="8" t="inlineStr">
        <is>
          <t>Rådgiver / Controller</t>
        </is>
      </c>
      <c r="E9" s="8" t="inlineStr">
        <is>
          <t>data/kristiansand_epm_modell.xlsx</t>
        </is>
      </c>
      <c r="F9" s="12" t="inlineStr">
        <is>
          <t>Fullført &amp; Synket</t>
        </is>
      </c>
    </row>
    <row r="10" ht="22" customHeight="1">
      <c r="A10" s="14" t="inlineStr">
        <is>
          <t>hitl_skriveback_ui.py</t>
        </is>
      </c>
      <c r="B10" s="5" t="inlineStr">
        <is>
          <t>Python (.py)</t>
        </is>
      </c>
      <c r="C10" s="6" t="inlineStr">
        <is>
          <t>Streamlit UI for RAG Glass-Box diagnose, PII-skjerming og uforanderlig Audit Log.</t>
        </is>
      </c>
      <c r="D10" s="6" t="inlineStr">
        <is>
          <t>Rådgiver / Controller</t>
        </is>
      </c>
      <c r="E10" s="6" t="inlineStr">
        <is>
          <t>kildekode/brukergrensesnitt/hitl_skriveback_ui.py</t>
        </is>
      </c>
      <c r="F10" s="12" t="inlineStr">
        <is>
          <t>Fullført &amp; Synket</t>
        </is>
      </c>
    </row>
    <row r="11" ht="22" customHeight="1">
      <c r="A11" s="15" t="inlineStr">
        <is>
          <t>kontor_arbeidsflyt_diagram.png</t>
        </is>
      </c>
      <c r="B11" s="7" t="inlineStr">
        <is>
          <t>Bilde (.png)</t>
        </is>
      </c>
      <c r="C11" s="8" t="inlineStr">
        <is>
          <t>Isometrisk arbeidsflytdiagram over kontorhverdagen fra Visma til Audit Log.</t>
        </is>
      </c>
      <c r="D11" s="8" t="inlineStr">
        <is>
          <t>Lederteam / Opplæring</t>
        </is>
      </c>
      <c r="E11" s="8" t="inlineStr">
        <is>
          <t>ressurser/kontor_arbeidsflyt_diagram.png</t>
        </is>
      </c>
      <c r="F11" s="12" t="inlineStr">
        <is>
          <t>Fullført &amp; Synket</t>
        </is>
      </c>
    </row>
    <row r="12" ht="22" customHeight="1">
      <c r="A12" s="14" t="inlineStr">
        <is>
          <t>kristiansand_epm_rammeverk_norsk.zip</t>
        </is>
      </c>
      <c r="B12" s="5" t="inlineStr">
        <is>
          <t>ZIP (.zip)</t>
        </is>
      </c>
      <c r="C12" s="6" t="inlineStr">
        <is>
          <t>Komplett norsk prosjektarkiv med all kildekode, moduler, data og dokumentasjon.</t>
        </is>
      </c>
      <c r="D12" s="6" t="inlineStr">
        <is>
          <t>IT / Arkiv / Systemansvarlig</t>
        </is>
      </c>
      <c r="E12" s="6" t="inlineStr">
        <is>
          <t>kristiansand_epm_rammeverk_norsk.zip</t>
        </is>
      </c>
      <c r="F12" s="12" t="inlineStr">
        <is>
          <t>Fullført &amp; Synket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65" customWidth="1" min="3" max="3"/>
    <col width="22" customWidth="1" min="4" max="4"/>
    <col width="25" customWidth="1" min="5" max="5"/>
    <col width="45" customWidth="1" min="6" max="6"/>
  </cols>
  <sheetData>
    <row r="1" ht="35" customHeight="1">
      <c r="A1" s="1" t="inlineStr">
        <is>
          <t>OPERATIV SJEKKLISTE FOR RÅDGIVER ØKONOMISTYRING (HITL CONTROLLER)</t>
        </is>
      </c>
    </row>
    <row r="2"/>
    <row r="3"/>
    <row r="4" ht="25" customHeight="1">
      <c r="A4" s="4" t="inlineStr">
        <is>
          <t>Steg #</t>
        </is>
      </c>
      <c r="B4" s="4" t="inlineStr">
        <is>
          <t>Kontrollpunkt / Arbeidsoppgave</t>
        </is>
      </c>
      <c r="C4" s="4" t="inlineStr">
        <is>
          <t>Operativ Beskrivelse &amp; Systemflate</t>
        </is>
      </c>
      <c r="D4" s="4" t="inlineStr">
        <is>
          <t>Frekvens</t>
        </is>
      </c>
      <c r="E4" s="4" t="inlineStr">
        <is>
          <t>Status / Avsjekk</t>
        </is>
      </c>
      <c r="F4" s="4" t="inlineStr">
        <is>
          <t>Saksbehandlers Merknad</t>
        </is>
      </c>
    </row>
    <row r="5" ht="22" customHeight="1">
      <c r="A5" s="15" t="inlineStr">
        <is>
          <t>Steg 1</t>
        </is>
      </c>
      <c r="B5" s="8" t="inlineStr">
        <is>
          <t>Eksport av regnskapsdata fra Visma Enterprise</t>
        </is>
      </c>
      <c r="C5" s="8" t="inlineStr">
        <is>
          <t>Hent ut maanedlige tall for saldoer paakostet og inntektsfoert (spesielt art 1020 vs 1690).</t>
        </is>
      </c>
      <c r="D5" s="7" t="inlineStr">
        <is>
          <t>Maanedlig</t>
        </is>
      </c>
      <c r="E5" s="12" t="inlineStr">
        <is>
          <t>GODKJENT / FULLFØRT</t>
        </is>
      </c>
      <c r="F5" s="8" t="inlineStr">
        <is>
          <t>Fullfoert uten avvik i Visma.</t>
        </is>
      </c>
    </row>
    <row r="6" ht="22" customHeight="1">
      <c r="A6" s="14" t="inlineStr">
        <is>
          <t>Steg 2</t>
        </is>
      </c>
      <c r="B6" s="6" t="inlineStr">
        <is>
          <t>Kjoer PII-skjerming pa fritekstbilag</t>
        </is>
      </c>
      <c r="C6" s="6" t="inlineStr">
        <is>
          <t>Kjoer pii_scrubber.py for a vaske foedselsnumre, navn og kontonumre lokalt foer AI-oppslag.</t>
        </is>
      </c>
      <c r="D6" s="5" t="inlineStr">
        <is>
          <t>Maanedlig</t>
        </is>
      </c>
      <c r="E6" s="12" t="inlineStr">
        <is>
          <t>GODKJENT / FULLFØRT</t>
        </is>
      </c>
      <c r="F6" s="6" t="inlineStr">
        <is>
          <t>Lokal anonymisering verifisert.</t>
        </is>
      </c>
    </row>
    <row r="7" ht="22" customHeight="1">
      <c r="A7" s="15" t="inlineStr">
        <is>
          <t>Steg 3</t>
        </is>
      </c>
      <c r="B7" s="8" t="inlineStr">
        <is>
          <t>Beregning av Visma-etterslep pa NAV-refusjon</t>
        </is>
      </c>
      <c r="C7" s="8" t="inlineStr">
        <is>
          <t>Kjoer DAX-beregningen [ERP NAV Refusjon Etterslep] i Power BI for Grunnskole og Boenhet.</t>
        </is>
      </c>
      <c r="D7" s="7" t="inlineStr">
        <is>
          <t>Maanedlig</t>
        </is>
      </c>
      <c r="E7" s="12" t="inlineStr">
        <is>
          <t>GODKJENT / FULLFØRT</t>
        </is>
      </c>
      <c r="F7" s="8" t="inlineStr">
        <is>
          <t>Etterslep pa kr 300 000 noeytralisert.</t>
        </is>
      </c>
    </row>
    <row r="8" ht="22" customHeight="1">
      <c r="A8" s="14" t="inlineStr">
        <is>
          <t>Steg 4</t>
        </is>
      </c>
      <c r="B8" s="6" t="inlineStr">
        <is>
          <t>Kjoer What-If EOY Scenariomodell i Excel</t>
        </is>
      </c>
      <c r="C8" s="6" t="inlineStr">
        <is>
          <t>Test effekten av sykefravaerstiltak (-1.5%) og rammejusteringer i kristiansand_epm_modell.xlsx.</t>
        </is>
      </c>
      <c r="D8" s="5" t="inlineStr">
        <is>
          <t>Maanedlig</t>
        </is>
      </c>
      <c r="E8" s="12" t="inlineStr">
        <is>
          <t>GODKJENT / FULLFØRT</t>
        </is>
      </c>
      <c r="F8" s="6" t="inlineStr">
        <is>
          <t>EOY-balanse viser korrigert resultat &gt;= 1.0%.</t>
        </is>
      </c>
    </row>
    <row r="9" ht="22" customHeight="1">
      <c r="A9" s="15" t="inlineStr">
        <is>
          <t>Steg 5</t>
        </is>
      </c>
      <c r="B9" s="8" t="inlineStr">
        <is>
          <t>Gjennomfoer RAG Glass-Box diagnose</t>
        </is>
      </c>
      <c r="C9" s="8" t="inlineStr">
        <is>
          <t>Generer AI-avviksdiagnose i Controller AI Portal med oppslag mot 1. tertialrapport 2026.</t>
        </is>
      </c>
      <c r="D9" s="7" t="inlineStr">
        <is>
          <t>Tertialvis</t>
        </is>
      </c>
      <c r="E9" s="12" t="inlineStr">
        <is>
          <t>GODKJENT / FULLFØRT</t>
        </is>
      </c>
      <c r="F9" s="8" t="inlineStr">
        <is>
          <t>RAG-kildeforankring verifisert med 94% confidence.</t>
        </is>
      </c>
    </row>
    <row r="10" ht="22" customHeight="1">
      <c r="A10" s="14" t="inlineStr">
        <is>
          <t>Steg 6</t>
        </is>
      </c>
      <c r="B10" s="6" t="inlineStr">
        <is>
          <t>HITL Sign-Off og Audit Log skriving</t>
        </is>
      </c>
      <c r="C10" s="6" t="inlineStr">
        <is>
          <t>Velg APPROVED, MODIFIED eller REJECTED i portalen og skriv obligatorisk saksbehandlernotat.</t>
        </is>
      </c>
      <c r="D10" s="5" t="inlineStr">
        <is>
          <t>Tertialvis</t>
        </is>
      </c>
      <c r="E10" s="12" t="inlineStr">
        <is>
          <t>GODKJENT / FULLFØRT</t>
        </is>
      </c>
      <c r="F10" s="6" t="inlineStr">
        <is>
          <t>Kryptografisk SHA-256 hash registrert i SQLite.</t>
        </is>
      </c>
    </row>
    <row r="11" ht="22" customHeight="1">
      <c r="A11" s="15" t="inlineStr">
        <is>
          <t>Steg 7</t>
        </is>
      </c>
      <c r="B11" s="8" t="inlineStr">
        <is>
          <t>Utsending av Teams Adaptive Card</t>
        </is>
      </c>
      <c r="C11" s="8" t="inlineStr">
        <is>
          <t>Send automatisk varsel til Teams-kanalen Virksomhetsstyring for enheter med reelt avvik &gt; 5%.</t>
        </is>
      </c>
      <c r="D11" s="7" t="inlineStr">
        <is>
          <t>Ved Avvik</t>
        </is>
      </c>
      <c r="E11" s="12" t="inlineStr">
        <is>
          <t>GODKJENT / FULLFØRT</t>
        </is>
      </c>
      <c r="F11" s="8" t="inlineStr">
        <is>
          <t>Teams-kort sendt til ansvarlig enhetsleder.</t>
        </is>
      </c>
    </row>
    <row r="12" ht="22" customHeight="1">
      <c r="A12" s="14" t="inlineStr">
        <is>
          <t>Steg 8</t>
        </is>
      </c>
      <c r="B12" s="6" t="inlineStr">
        <is>
          <t>Iverksetting i Framsikt og Public360</t>
        </is>
      </c>
      <c r="C12" s="6" t="inlineStr">
        <is>
          <t>Omposter administrative rammer i Framsikt og overfoer saksnotat til Public360 for arkivering.</t>
        </is>
      </c>
      <c r="D12" s="5" t="inlineStr">
        <is>
          <t>Maanedlig / Tertialvis</t>
        </is>
      </c>
      <c r="E12" s="13" t="inlineStr">
        <is>
          <t>I ARBEID</t>
        </is>
      </c>
      <c r="F12" s="6" t="inlineStr">
        <is>
          <t>Klargjort for omdisponering jf. Kommuneloven § 14-5.</t>
        </is>
      </c>
    </row>
  </sheetData>
  <mergeCells count="1">
    <mergeCell ref="A1:F1"/>
  </mergeCells>
  <dataValidations count="1">
    <dataValidation sqref="E5 E6 E7 E8 E9 E10 E11 E12" showDropDown="0" showInputMessage="0" showErrorMessage="0" allowBlank="1" type="list">
      <formula1>"GODKJENT / FULLFØRT,I ARBEID,KREVER TILTAK,IKKE 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2026-10-12T12:14:46Z</dcterms:created>
  <dcterms:modified xmlns:dcterms="http://purl.org/dc/terms/" xmlns:xsi="http://www.w3.org/2001/XMLSchema-instance" xsi:type="dcterms:W3CDTF">2026-10-12T12:14:46Z</dcterms:modified>
</cp:coreProperties>
</file>