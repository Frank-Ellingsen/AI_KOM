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delingsmatrise" sheetId="1" state="visible" r:id="rId1"/>
    <sheet xmlns:r="http://schemas.openxmlformats.org/officeDocument/2006/relationships" name="Karakterskala_og_Vek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2" fontId="2" fillId="5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4" fillId="2" borderId="2" pivotButton="0" quotePrefix="0" xfId="0"/>
    <xf numFmtId="164" fontId="4" fillId="2" borderId="2" pivotButton="0" quotePrefix="0" xfId="0"/>
    <xf numFmtId="165" fontId="4" fillId="2" borderId="2" pivotButton="0" quotePrefix="0" xfId="0"/>
    <xf numFmtId="2" fontId="4" fillId="2" borderId="2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6" customWidth="1" min="4" max="4"/>
    <col width="16" customWidth="1" min="5" max="5"/>
    <col width="55" customWidth="1" min="6" max="6"/>
    <col width="14" customWidth="1" min="7" max="7"/>
  </cols>
  <sheetData>
    <row r="1" ht="30" customHeight="1">
      <c r="A1" s="1" t="inlineStr">
        <is>
          <t>EVALUERINGSKJEMA OG TILDELINGSMATRISE FOR AI-ANSKAFFELSE</t>
        </is>
      </c>
    </row>
    <row r="3">
      <c r="A3" s="2" t="inlineStr">
        <is>
          <t>Anskaffelsesnavn:</t>
        </is>
      </c>
      <c r="B3" s="3" t="inlineStr">
        <is>
          <t>Anskaffelse av AI-Løsning og Beslutningsstøtte</t>
        </is>
      </c>
    </row>
    <row r="4">
      <c r="A4" s="2" t="inlineStr">
        <is>
          <t>Evaluator / Saksbehandling:</t>
        </is>
      </c>
      <c r="B4" s="3" t="inlineStr">
        <is>
          <t>Inntekts- og Økonomiavdelingen / Innkjøp</t>
        </is>
      </c>
    </row>
    <row r="5">
      <c r="A5" s="2" t="inlineStr">
        <is>
          <t>Dato for Evaluering:</t>
        </is>
      </c>
      <c r="B5" s="3" t="inlineStr">
        <is>
          <t>12.10.2026</t>
        </is>
      </c>
    </row>
    <row r="6">
      <c r="A6" s="2" t="inlineStr">
        <is>
          <t>Leverandør / Tilbud:</t>
        </is>
      </c>
      <c r="B6" s="3" t="inlineStr">
        <is>
          <t>Leverandør A (Eksempel)</t>
        </is>
      </c>
    </row>
    <row r="8" ht="22" customHeight="1">
      <c r="A8" s="4" t="inlineStr">
        <is>
          <t>1. ABSOLUTTE QUALIFICATION &amp; MINSTEKRAV (PASS / FAIL)</t>
        </is>
      </c>
    </row>
    <row r="9" ht="20" customHeight="1">
      <c r="A9" s="5" t="inlineStr">
        <is>
          <t>Krav-ID</t>
        </is>
      </c>
      <c r="B9" s="5" t="inlineStr">
        <is>
          <t>Minstekrav Kategori</t>
        </is>
      </c>
      <c r="C9" s="5" t="inlineStr">
        <is>
          <t>Kravbeskrivelse</t>
        </is>
      </c>
      <c r="D9" s="5" t="inlineStr">
        <is>
          <t>Dokumentasjonskrav</t>
        </is>
      </c>
      <c r="E9" s="5" t="inlineStr">
        <is>
          <t>Status</t>
        </is>
      </c>
      <c r="F9" s="5" t="inlineStr">
        <is>
          <t>Evaluering / Merknad</t>
        </is>
      </c>
    </row>
    <row r="10" ht="20" customHeight="1">
      <c r="A10" s="6" t="inlineStr">
        <is>
          <t>A-01</t>
        </is>
      </c>
      <c r="B10" s="7" t="inlineStr">
        <is>
          <t>Modelltrening</t>
        </is>
      </c>
      <c r="C10" s="7" t="inlineStr">
        <is>
          <t>Forbud mot bruk av kommunale data/bilag til modelltrening</t>
        </is>
      </c>
      <c r="D10" s="7" t="inlineStr">
        <is>
          <t>Databehandleravtale &amp; Bilag</t>
        </is>
      </c>
      <c r="E10" s="8" t="inlineStr">
        <is>
          <t>OPPFYLT</t>
        </is>
      </c>
      <c r="F10" s="7" t="inlineStr">
        <is>
          <t>Leverandør bekrefter at data isoleres fullstendig.</t>
        </is>
      </c>
    </row>
    <row r="11" ht="20" customHeight="1">
      <c r="A11" s="6" t="inlineStr">
        <is>
          <t>A-02</t>
        </is>
      </c>
      <c r="B11" s="7" t="inlineStr">
        <is>
          <t>Personvern &amp; PII</t>
        </is>
      </c>
      <c r="C11" s="7" t="inlineStr">
        <is>
          <t>Lokal PII-skjerming før ekstern AI-analyse</t>
        </is>
      </c>
      <c r="D11" s="7" t="inlineStr">
        <is>
          <t>Arkitekturtegning &amp; Modultest</t>
        </is>
      </c>
      <c r="E11" s="8" t="inlineStr">
        <is>
          <t>OPPFYLT</t>
        </is>
      </c>
      <c r="F11" s="7" t="inlineStr">
        <is>
          <t>Leverandør integrerer lokal klientbasert vaskemodul.</t>
        </is>
      </c>
    </row>
    <row r="12" ht="20" customHeight="1">
      <c r="A12" s="6" t="inlineStr">
        <is>
          <t>A-03</t>
        </is>
      </c>
      <c r="B12" s="7" t="inlineStr">
        <is>
          <t>DPIA / FRIA</t>
        </is>
      </c>
      <c r="C12" s="7" t="inlineStr">
        <is>
          <t>Ferdig dokumentasjon for GDPR Art. 35 og EU AI Act Art. 27</t>
        </is>
      </c>
      <c r="D12" s="7" t="inlineStr">
        <is>
          <t>DPIA &amp; FRIA Rapportmaler</t>
        </is>
      </c>
      <c r="E12" s="8" t="inlineStr">
        <is>
          <t>OPPFYLT</t>
        </is>
      </c>
      <c r="F12" s="7" t="inlineStr">
        <is>
          <t>Fullstendig FRIA-analyse levert som vedlegg.</t>
        </is>
      </c>
    </row>
    <row r="13" ht="20" customHeight="1">
      <c r="A13" s="6" t="inlineStr">
        <is>
          <t>A-04</t>
        </is>
      </c>
      <c r="B13" s="7" t="inlineStr">
        <is>
          <t>Cybersikkerhet</t>
        </is>
      </c>
      <c r="C13" s="7" t="inlineStr">
        <is>
          <t>Kryptering i hvile (AES-256) og transit (TLS 1.3), ISO 27001</t>
        </is>
      </c>
      <c r="D13" s="7" t="inlineStr">
        <is>
          <t>ISO-sertifikat &amp; Pen-test</t>
        </is>
      </c>
      <c r="E13" s="8" t="inlineStr">
        <is>
          <t>OPPFYLT</t>
        </is>
      </c>
      <c r="F13" s="7" t="inlineStr">
        <is>
          <t>Tredjeparts revisjonsrapport fremlagt uten avvik.</t>
        </is>
      </c>
    </row>
    <row r="15" ht="22" customHeight="1">
      <c r="A15" s="4" t="inlineStr">
        <is>
          <t>2. TILDELINGSKRITERIER OG VEKTET POENGSETTING (SKALA 0-10)</t>
        </is>
      </c>
    </row>
    <row r="16" ht="20" customHeight="1">
      <c r="A16" s="5" t="inlineStr">
        <is>
          <t>Kriterium ID</t>
        </is>
      </c>
      <c r="B16" s="5" t="inlineStr">
        <is>
          <t>Tildelingskriterium / Underkriterium</t>
        </is>
      </c>
      <c r="C16" s="5" t="inlineStr">
        <is>
          <t>Vekting (%)</t>
        </is>
      </c>
      <c r="D16" s="5" t="inlineStr">
        <is>
          <t>Karakter (0-10)</t>
        </is>
      </c>
      <c r="E16" s="5" t="inlineStr">
        <is>
          <t>Vektet Poeng</t>
        </is>
      </c>
      <c r="F16" s="5" t="inlineStr">
        <is>
          <t>Begrunnelse / Evalueringsnotat</t>
        </is>
      </c>
      <c r="G16" s="5" t="inlineStr">
        <is>
          <t>Maks Poeng</t>
        </is>
      </c>
    </row>
    <row r="17">
      <c r="A17" s="6" t="inlineStr">
        <is>
          <t>T-1.1</t>
        </is>
      </c>
      <c r="B17" s="7" t="inlineStr">
        <is>
          <t>Kvalitet: Presisjon i AI-diagnoser og nøytralisering av Visma-støy</t>
        </is>
      </c>
      <c r="C17" s="9" t="n">
        <v>0.15</v>
      </c>
      <c r="D17" s="10" t="n">
        <v>9</v>
      </c>
      <c r="E17" s="11">
        <f>C17*D17</f>
        <v/>
      </c>
      <c r="F17" s="7" t="inlineStr">
        <is>
          <t>Fremragende treffsikkerhet i nøytralisering av art 1690 mot 1020.</t>
        </is>
      </c>
      <c r="G17" s="12">
        <f>C17*10</f>
        <v/>
      </c>
    </row>
    <row r="18">
      <c r="A18" s="6" t="inlineStr">
        <is>
          <t>T-1.2</t>
        </is>
      </c>
      <c r="B18" s="7" t="inlineStr">
        <is>
          <t>Kvalitet: User Interface, UX, drill-down og brukeropplevelse</t>
        </is>
      </c>
      <c r="C18" s="9" t="n">
        <v>0.1</v>
      </c>
      <c r="D18" s="10" t="n">
        <v>8.5</v>
      </c>
      <c r="E18" s="11">
        <f>C18*D18</f>
        <v/>
      </c>
      <c r="F18" s="7" t="inlineStr">
        <is>
          <t>Brukervennlig Power BI / Streamlit grensesnitt med 5-nivåers drilldown.</t>
        </is>
      </c>
      <c r="G18" s="12">
        <f>C18*10</f>
        <v/>
      </c>
    </row>
    <row r="19">
      <c r="A19" s="6" t="inlineStr">
        <is>
          <t>T-1.3</t>
        </is>
      </c>
      <c r="B19" s="7" t="inlineStr">
        <is>
          <t>Kvalitet: Brukervennlighet og fleksibilitet i What-If scenarier</t>
        </is>
      </c>
      <c r="C19" s="9" t="n">
        <v>0.1</v>
      </c>
      <c r="D19" s="10" t="n">
        <v>9</v>
      </c>
      <c r="E19" s="11">
        <f>C19*D19</f>
        <v/>
      </c>
      <c r="F19" s="7" t="inlineStr">
        <is>
          <t>Svært fleksible parametere for EOY-prognoser.</t>
        </is>
      </c>
      <c r="G19" s="12">
        <f>C19*10</f>
        <v/>
      </c>
    </row>
    <row r="20">
      <c r="A20" s="6" t="inlineStr">
        <is>
          <t>T-2.1</t>
        </is>
      </c>
      <c r="B20" s="7" t="inlineStr">
        <is>
          <t>Sikkerhet/Etikk: Glass-Box forklarbarhet og kildeforankring (RAG)</t>
        </is>
      </c>
      <c r="C20" s="9" t="n">
        <v>0.15</v>
      </c>
      <c r="D20" s="10" t="n">
        <v>9.5</v>
      </c>
      <c r="E20" s="11">
        <f>C20*D20</f>
        <v/>
      </c>
      <c r="F20" s="7" t="inlineStr">
        <is>
          <t>Eksplisitt kildehenvisning til 1. tertialrapport og Økonomireglement.</t>
        </is>
      </c>
      <c r="G20" s="12">
        <f>C20*10</f>
        <v/>
      </c>
    </row>
    <row r="21">
      <c r="A21" s="6" t="inlineStr">
        <is>
          <t>T-2.2</t>
        </is>
      </c>
      <c r="B21" s="7" t="inlineStr">
        <is>
          <t>Sikkerhet/Etikk: HITL-funksjonalitet og kryptografisk Audit Trail</t>
        </is>
      </c>
      <c r="C21" s="9" t="n">
        <v>0.15</v>
      </c>
      <c r="D21" s="10" t="n">
        <v>9</v>
      </c>
      <c r="E21" s="11">
        <f>C21*D21</f>
        <v/>
      </c>
      <c r="F21" s="7" t="inlineStr">
        <is>
          <t>Uforanderlig loggføring med SHA-256 hash og skriftlig notat.</t>
        </is>
      </c>
      <c r="G21" s="12">
        <f>C21*10</f>
        <v/>
      </c>
    </row>
    <row r="22">
      <c r="A22" s="6" t="inlineStr">
        <is>
          <t>T-3.1</t>
        </is>
      </c>
      <c r="B22" s="7" t="inlineStr">
        <is>
          <t>Gjennomføring: M365 / Teams / Plandisc Årshjul-integrasjon</t>
        </is>
      </c>
      <c r="C22" s="9" t="n">
        <v>0.1</v>
      </c>
      <c r="D22" s="10" t="n">
        <v>8</v>
      </c>
      <c r="E22" s="11">
        <f>C22*D22</f>
        <v/>
      </c>
      <c r="F22" s="7" t="inlineStr">
        <is>
          <t>Sømløs Teams-fane og automatisk Outlook kalender-sync.</t>
        </is>
      </c>
      <c r="G22" s="12">
        <f>C22*10</f>
        <v/>
      </c>
    </row>
    <row r="23">
      <c r="A23" s="6" t="inlineStr">
        <is>
          <t>T-3.2</t>
        </is>
      </c>
      <c r="B23" s="7" t="inlineStr">
        <is>
          <t>Gjennomføring: Kompetanse, opplæringsplan og pilotstøtte</t>
        </is>
      </c>
      <c r="C23" s="9" t="n">
        <v>0.1</v>
      </c>
      <c r="D23" s="10" t="n">
        <v>8.5</v>
      </c>
      <c r="E23" s="11">
        <f>C23*D23</f>
        <v/>
      </c>
      <c r="F23" s="7" t="inlineStr">
        <is>
          <t>God strukturert opplæringsplan for økonomirådgivere.</t>
        </is>
      </c>
      <c r="G23" s="12">
        <f>C23*10</f>
        <v/>
      </c>
    </row>
    <row r="24">
      <c r="A24" s="6" t="inlineStr">
        <is>
          <t>T-4.1</t>
        </is>
      </c>
      <c r="B24" s="7" t="inlineStr">
        <is>
          <t>Pris: Samlet livsløpskostnad (TCO over 4 år)</t>
        </is>
      </c>
      <c r="C24" s="9" t="n">
        <v>0.15</v>
      </c>
      <c r="D24" s="10" t="n">
        <v>8</v>
      </c>
      <c r="E24" s="11">
        <f>C24*D24</f>
        <v/>
      </c>
      <c r="F24" s="7" t="inlineStr">
        <is>
          <t>Konkurransedyktig lisenspris med forutsigbare driftselementer.</t>
        </is>
      </c>
      <c r="G24" s="12">
        <f>C24*10</f>
        <v/>
      </c>
    </row>
    <row r="25" ht="24" customHeight="1">
      <c r="A25" s="13" t="inlineStr">
        <is>
          <t>TOTAL</t>
        </is>
      </c>
      <c r="B25" s="13" t="inlineStr">
        <is>
          <t>SAMMENSTILT POENGSUM OG EVALUERING</t>
        </is>
      </c>
      <c r="C25" s="14">
        <f>SUM(C17:C24)</f>
        <v/>
      </c>
      <c r="D25" s="15">
        <f>AVERAGE(D17:D24)</f>
        <v/>
      </c>
      <c r="E25" s="16">
        <f>SUM(E17:E24)</f>
        <v/>
      </c>
      <c r="F25" s="13" t="inlineStr">
        <is>
          <t>LEVERANDØR INDISTINKT ANBEFALT FOR TILDELING</t>
        </is>
      </c>
      <c r="G25" s="16">
        <f>SUM(G17:G24)</f>
        <v/>
      </c>
    </row>
  </sheetData>
  <mergeCells count="3">
    <mergeCell ref="A8:G8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5" customWidth="1" min="3" max="3"/>
    <col width="25" customWidth="1" min="4" max="4"/>
  </cols>
  <sheetData>
    <row r="1" ht="30" customHeight="1">
      <c r="A1" s="1" t="inlineStr">
        <is>
          <t>EVALUERINGSMETODIKK OG KARAKTERSKALA (0 - 10)</t>
        </is>
      </c>
    </row>
    <row r="2" ht="20" customHeight="1">
      <c r="A2" s="5" t="inlineStr">
        <is>
          <t>Karakter</t>
        </is>
      </c>
      <c r="B2" s="5" t="inlineStr">
        <is>
          <t>Kvalitetsgrad</t>
        </is>
      </c>
      <c r="C2" s="5" t="inlineStr">
        <is>
          <t>Definisjon og Oppfyllelse</t>
        </is>
      </c>
      <c r="D2" s="5" t="inlineStr">
        <is>
          <t>Anvendelse i Evalueringen</t>
        </is>
      </c>
    </row>
    <row r="3" ht="22" customHeight="1">
      <c r="A3" s="17" t="n">
        <v>10</v>
      </c>
      <c r="B3" s="18" t="inlineStr">
        <is>
          <t>Fremragende</t>
        </is>
      </c>
      <c r="C3" s="7" t="inlineStr">
        <is>
          <t>Overgår kravene vesentlig. Leverer stor merverdi utover kravspesifikasjonen uten svakheter.</t>
        </is>
      </c>
      <c r="D3" s="7" t="inlineStr">
        <is>
          <t>Maksimal uttelling</t>
        </is>
      </c>
    </row>
    <row r="4" ht="22" customHeight="1">
      <c r="A4" s="17" t="n">
        <v>8</v>
      </c>
      <c r="B4" s="18" t="inlineStr">
        <is>
          <t>Meget god</t>
        </is>
      </c>
      <c r="C4" s="7" t="inlineStr">
        <is>
          <t>Meget god oppfyllelse av kravene. Kun uvesentlige mangler som ikke har praktisk betydning.</t>
        </is>
      </c>
      <c r="D4" s="7" t="inlineStr">
        <is>
          <t>Høy uttelling</t>
        </is>
      </c>
    </row>
    <row r="5" ht="22" customHeight="1">
      <c r="A5" s="17" t="n">
        <v>6</v>
      </c>
      <c r="B5" s="18" t="inlineStr">
        <is>
          <t>Gjennomsnittlig / God</t>
        </is>
      </c>
      <c r="C5" s="7" t="inlineStr">
        <is>
          <t>Tilfredsstiller kravene i spesifikasjonen. Normalt god løsning uten spesielle merverdier.</t>
        </is>
      </c>
      <c r="D5" s="7" t="inlineStr">
        <is>
          <t>Middels uttelling</t>
        </is>
      </c>
    </row>
    <row r="6" ht="22" customHeight="1">
      <c r="A6" s="17" t="n">
        <v>4</v>
      </c>
      <c r="B6" s="18" t="inlineStr">
        <is>
          <t>Mindre god</t>
        </is>
      </c>
      <c r="C6" s="7" t="inlineStr">
        <is>
          <t>Kravene er delvis oppfylt, men løsningen har klarlagte svakheter eller mangler.</t>
        </is>
      </c>
      <c r="D6" s="7" t="inlineStr">
        <is>
          <t>Lav uttelling</t>
        </is>
      </c>
    </row>
    <row r="7" ht="22" customHeight="1">
      <c r="A7" s="17" t="n">
        <v>2</v>
      </c>
      <c r="B7" s="18" t="inlineStr">
        <is>
          <t>Svak / Mangelfull</t>
        </is>
      </c>
      <c r="C7" s="7" t="inlineStr">
        <is>
          <t>Store og vesentlige mangler ved oppfyllelsen. Høy risiko ved gjennomføring.</t>
        </is>
      </c>
      <c r="D7" s="7" t="inlineStr">
        <is>
          <t>Minimal uttelling</t>
        </is>
      </c>
    </row>
    <row r="8" ht="22" customHeight="1">
      <c r="A8" s="17" t="n">
        <v>0</v>
      </c>
      <c r="B8" s="18" t="inlineStr">
        <is>
          <t>Ikke oppfylt</t>
        </is>
      </c>
      <c r="C8" s="7" t="inlineStr">
        <is>
          <t>Kravet er ikke besvart, eller tilbudet avviker fundamentalt fra spesifikasjonen.</t>
        </is>
      </c>
      <c r="D8" s="7" t="inlineStr">
        <is>
          <t>Null uttelling / Avvisning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2026-10-12T11:58:07Z</dcterms:created>
  <dcterms:modified xmlns:dcterms="http://purl.org/dc/terms/" xmlns:xsi="http://www.w3.org/2001/XMLSchema-instance" xsi:type="dcterms:W3CDTF">2026-10-12T11:58:07Z</dcterms:modified>
</cp:coreProperties>
</file>